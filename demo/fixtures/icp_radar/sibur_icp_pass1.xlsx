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ksim.Sigitov\Downloads\"/>
    </mc:Choice>
  </mc:AlternateContent>
  <xr:revisionPtr revIDLastSave="0" documentId="13_ncr:1_{3EEF90A1-9BBD-4DE8-9D56-6139D3BEA70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ummary" sheetId="1" r:id="rId1"/>
    <sheet name="ICP Matrix" sheetId="2" r:id="rId2"/>
    <sheet name="Criteria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4" i="2" l="1"/>
  <c r="P34" i="2" s="1"/>
  <c r="N34" i="2"/>
  <c r="M34" i="2"/>
  <c r="L34" i="2"/>
  <c r="O33" i="2"/>
  <c r="P33" i="2" s="1"/>
  <c r="N33" i="2"/>
  <c r="M33" i="2"/>
  <c r="L33" i="2"/>
  <c r="O32" i="2"/>
  <c r="P32" i="2" s="1"/>
  <c r="N32" i="2"/>
  <c r="M32" i="2"/>
  <c r="L32" i="2"/>
  <c r="O31" i="2"/>
  <c r="P31" i="2" s="1"/>
  <c r="N31" i="2"/>
  <c r="M31" i="2"/>
  <c r="L31" i="2"/>
  <c r="O30" i="2"/>
  <c r="P30" i="2" s="1"/>
  <c r="N30" i="2"/>
  <c r="M30" i="2"/>
  <c r="L30" i="2"/>
  <c r="O29" i="2"/>
  <c r="P29" i="2" s="1"/>
  <c r="N29" i="2"/>
  <c r="M29" i="2"/>
  <c r="L29" i="2"/>
  <c r="P28" i="2"/>
  <c r="O28" i="2"/>
  <c r="N28" i="2"/>
  <c r="M28" i="2"/>
  <c r="L28" i="2"/>
  <c r="O27" i="2"/>
  <c r="P27" i="2" s="1"/>
  <c r="N27" i="2"/>
  <c r="M27" i="2"/>
  <c r="L27" i="2"/>
  <c r="P26" i="2"/>
  <c r="O26" i="2"/>
  <c r="N26" i="2"/>
  <c r="M26" i="2"/>
  <c r="L26" i="2"/>
  <c r="O25" i="2"/>
  <c r="P25" i="2" s="1"/>
  <c r="N25" i="2"/>
  <c r="M25" i="2"/>
  <c r="L25" i="2"/>
  <c r="O24" i="2"/>
  <c r="P24" i="2" s="1"/>
  <c r="N24" i="2"/>
  <c r="M24" i="2"/>
  <c r="L24" i="2"/>
  <c r="O23" i="2"/>
  <c r="P23" i="2" s="1"/>
  <c r="N23" i="2"/>
  <c r="M23" i="2"/>
  <c r="L23" i="2"/>
  <c r="P22" i="2"/>
  <c r="O22" i="2"/>
  <c r="N22" i="2"/>
  <c r="M22" i="2"/>
  <c r="L22" i="2"/>
  <c r="O21" i="2"/>
  <c r="P21" i="2" s="1"/>
  <c r="N21" i="2"/>
  <c r="M21" i="2"/>
  <c r="L21" i="2"/>
  <c r="O20" i="2"/>
  <c r="P20" i="2" s="1"/>
  <c r="N20" i="2"/>
  <c r="M20" i="2"/>
  <c r="L20" i="2"/>
  <c r="O19" i="2"/>
  <c r="P19" i="2" s="1"/>
  <c r="N19" i="2"/>
  <c r="M19" i="2"/>
  <c r="L19" i="2"/>
  <c r="O18" i="2"/>
  <c r="P18" i="2" s="1"/>
  <c r="N18" i="2"/>
  <c r="M18" i="2"/>
  <c r="L18" i="2"/>
  <c r="O17" i="2"/>
  <c r="P17" i="2" s="1"/>
  <c r="N17" i="2"/>
  <c r="M17" i="2"/>
  <c r="L17" i="2"/>
  <c r="O16" i="2"/>
  <c r="P16" i="2" s="1"/>
  <c r="N16" i="2"/>
  <c r="M16" i="2"/>
  <c r="L16" i="2"/>
  <c r="O15" i="2"/>
  <c r="P15" i="2" s="1"/>
  <c r="N15" i="2"/>
  <c r="M15" i="2"/>
  <c r="L15" i="2"/>
  <c r="O14" i="2"/>
  <c r="P14" i="2" s="1"/>
  <c r="N14" i="2"/>
  <c r="M14" i="2"/>
  <c r="L14" i="2"/>
  <c r="O13" i="2"/>
  <c r="P13" i="2" s="1"/>
  <c r="N13" i="2"/>
  <c r="M13" i="2"/>
  <c r="L13" i="2"/>
  <c r="P12" i="2"/>
  <c r="O12" i="2"/>
  <c r="N12" i="2"/>
  <c r="M12" i="2"/>
  <c r="L12" i="2"/>
  <c r="O11" i="2"/>
  <c r="P11" i="2" s="1"/>
  <c r="N11" i="2"/>
  <c r="M11" i="2"/>
  <c r="L11" i="2"/>
  <c r="P10" i="2"/>
  <c r="O10" i="2"/>
  <c r="N10" i="2"/>
  <c r="M10" i="2"/>
  <c r="L10" i="2"/>
  <c r="O9" i="2"/>
  <c r="P9" i="2" s="1"/>
  <c r="N9" i="2"/>
  <c r="M9" i="2"/>
  <c r="L9" i="2"/>
  <c r="O8" i="2"/>
  <c r="P8" i="2" s="1"/>
  <c r="N8" i="2"/>
  <c r="M8" i="2"/>
  <c r="L8" i="2"/>
  <c r="O7" i="2"/>
  <c r="P7" i="2" s="1"/>
  <c r="N7" i="2"/>
  <c r="M7" i="2"/>
  <c r="L7" i="2"/>
  <c r="P6" i="2"/>
  <c r="O6" i="2"/>
  <c r="N6" i="2"/>
  <c r="M6" i="2"/>
  <c r="L6" i="2"/>
  <c r="O5" i="2"/>
  <c r="P5" i="2" s="1"/>
  <c r="N5" i="2"/>
  <c r="M5" i="2"/>
  <c r="L5" i="2"/>
  <c r="O4" i="2"/>
  <c r="P4" i="2" s="1"/>
  <c r="N4" i="2"/>
  <c r="M4" i="2"/>
  <c r="L4" i="2"/>
  <c r="O3" i="2"/>
  <c r="P3" i="2" s="1"/>
  <c r="N3" i="2"/>
  <c r="M3" i="2"/>
  <c r="L3" i="2"/>
  <c r="O2" i="2"/>
  <c r="P2" i="2" s="1"/>
  <c r="N2" i="2"/>
  <c r="M2" i="2"/>
  <c r="L2" i="2"/>
</calcChain>
</file>

<file path=xl/sharedStrings.xml><?xml version="1.0" encoding="utf-8"?>
<sst xmlns="http://schemas.openxmlformats.org/spreadsheetml/2006/main" count="707" uniqueCount="460">
  <si>
    <t>Ранг</t>
  </si>
  <si>
    <t>№</t>
  </si>
  <si>
    <t>Компания</t>
  </si>
  <si>
    <t>Тип/роль</t>
  </si>
  <si>
    <t>Total</t>
  </si>
  <si>
    <t>Tier</t>
  </si>
  <si>
    <t>Главный сигнал</t>
  </si>
  <si>
    <t>Комментарий</t>
  </si>
  <si>
    <t>ПАО «Нижнекамскнефтехим»</t>
  </si>
  <si>
    <t>Крупнотоннажное производство</t>
  </si>
  <si>
    <t>Tier 1</t>
  </si>
  <si>
    <t>Сильнейший fit/intent: ЭП-600 с ~70 000 датчиков, предиктивной аналитикой и высоким уровнем автоматизации; Горизонт в ремонтах от диагностики до анализа итогов.</t>
  </si>
  <si>
    <t>Брать в приоритетный ресёрч</t>
  </si>
  <si>
    <t>ООО «СИБУР»</t>
  </si>
  <si>
    <t>Управляющая организация</t>
  </si>
  <si>
    <t>Центральный аккаунт: цифровизация, ТОиР/надежность, AI/ML, IoT, замещение GE SmartSignal/Meridium, сотрудничество с РДС и Галактикой/импортозамещение.</t>
  </si>
  <si>
    <t>ООО «ЗапСибНефтехим»</t>
  </si>
  <si>
    <t>Крупнейшая площадка; модернизация ремонтно-механического завода, цифровые модели деталей; в закупках встречается ремонт динамического оборудования и остановочные ремонты.</t>
  </si>
  <si>
    <t>ПАО «Казаньоргсинтез»</t>
  </si>
  <si>
    <t>Очень сильный сигнал: остановочный ремонт 2025, 3453 единицы оборудования, цифровой остановочный ремонт, платформа Горизонт, видеомониторинг, цифровые наряды.</t>
  </si>
  <si>
    <t>АО «Воронежсинтезкаучук»</t>
  </si>
  <si>
    <t>Производство</t>
  </si>
  <si>
    <t>Tier 2</t>
  </si>
  <si>
    <t>Прямой цифровой сигнал: мобильный ТОиР, техническое зрение, 3D-сканер/принтер; отдельная новость о вложениях в надежность и энергоэффективность.</t>
  </si>
  <si>
    <t>Проверить углубленно после Tier 1</t>
  </si>
  <si>
    <t>ООО «Амурский газохимический комплекс»</t>
  </si>
  <si>
    <t>Новый газохимический комплекс</t>
  </si>
  <si>
    <t>Новый комплекс: цель “цифровой Амурский ГХК”, умный логистический комплекс, лидары/датчики, цифровизация логистики; хороший вход на этапе становления эксплуатации.</t>
  </si>
  <si>
    <t>АО «СИБУР Энерго» / SiburEnergoManagement</t>
  </si>
  <si>
    <t>Энергетика</t>
  </si>
  <si>
    <t>Энергетический актив: высокая релевантность для вращающегося оборудования, КИПиА/АСУТП, надежности и энергоэффективности; прямой company-specific intent ограничен.</t>
  </si>
  <si>
    <t>АО «СИБУР-ХИМПРОМ»</t>
  </si>
  <si>
    <t>Прямой кейс цифрового остановочного ремонта DataBriz: мобильное приложение, планирование и контроль работ в реальном времени, 150 ИТР.</t>
  </si>
  <si>
    <t>АО «ТГК-16»</t>
  </si>
  <si>
    <t>Энергогенерация + открытые тендеры/проекты по ТО средств АСУТП и КИПиА на Нижнекамской ТЭЦ; высокий fit для диагностики турбин/насосов/электрооборудования.</t>
  </si>
  <si>
    <t>ООО «БИАКСПЛЕН»</t>
  </si>
  <si>
    <t>Производство / несколько площадок</t>
  </si>
  <si>
    <t>Модернизация АСУТП линии БОПП: замена &gt;103 преобразователей; роботы на площадках Балахна/Томск. Сильный сигнал цифровизации и распределенности.</t>
  </si>
  <si>
    <t>ООО «Запсибтрансгаз»</t>
  </si>
  <si>
    <t>Трубопроводная инфраструктура</t>
  </si>
  <si>
    <t>Прямой сигнал: ремонты магистральных трубопроводов, диагностика, очистка 1114 км трубопроводов, дублирующая система обнаружения утечек.</t>
  </si>
  <si>
    <t>ООО «Томскнефтехим»</t>
  </si>
  <si>
    <t>Томск упоминался в контексте цифровых наряд-допусков; БИАКСПЛЕН-Томск — роботы. Для ТНХ fit высокий, но прямой intent требует углубления.</t>
  </si>
  <si>
    <t>ООО «СИБУР-Кстово»</t>
  </si>
  <si>
    <t>СИБУР сообщал о цифровых наряд-допусках в т.ч. в Кстово; производственный fit высокий, но company-specific источников пока мало.</t>
  </si>
  <si>
    <t>ООО «Портэнерго»</t>
  </si>
  <si>
    <t>Логистика / терминал</t>
  </si>
  <si>
    <t>Терминал СУГ/нефтепродуктов: насосно-компрессорное оборудование; в открытых закупочных каналах встречается обслуживание и ремонт компрессорного/насосного оборудования.</t>
  </si>
  <si>
    <t>ООО «Управление этиленопроводов-Нижнекамскнефтехим»</t>
  </si>
  <si>
    <t>Tier 3</t>
  </si>
  <si>
    <t>Pipeline-fit: эксплуатация этиленопроводов, близко к диагностике/мониторингу трубопроводов; company-specific источники требуют углубления.</t>
  </si>
  <si>
    <t>Нужна доп. валидация</t>
  </si>
  <si>
    <t>АО «Красноярский завод синтетического каучука»</t>
  </si>
  <si>
    <t>Единственный в РФ производитель БНК, 85 марок; в 2025 мощность увеличена инвестиционным проектом до 51 тыс. тонн.</t>
  </si>
  <si>
    <t>АО «ПОЛИЭФ»</t>
  </si>
  <si>
    <t>Активоёмкая непрерывная химическая площадка; прямых свежих сигналов ТОиР/предиктива в проходе №1 мало, но fit высокий по оборудованию.</t>
  </si>
  <si>
    <t>ООО «РусВинил»</t>
  </si>
  <si>
    <t>Непрерывная химическая площадка с критичным оборудованием; прямые intent-сигналы в проходе №1 не детализированы.</t>
  </si>
  <si>
    <t>ООО «ПОЛИОМ»</t>
  </si>
  <si>
    <t>Крупная химическая площадка с хорошим fit, но в проходе №1 не найдено прямых свежих сигналов ТОиР/предиктива.</t>
  </si>
  <si>
    <t>КАО «Азот»</t>
  </si>
  <si>
    <t>Исторический / вне текущего ядра</t>
  </si>
  <si>
    <t>Крупнотоннажная химия с высоким fit, но актив выведенный/исторический; прямые сигналы по СИБУР-контексту не собраны.</t>
  </si>
  <si>
    <t>ООО «НХТК»</t>
  </si>
  <si>
    <t>Логистика / парк активов</t>
  </si>
  <si>
    <t>СИБУР передал в НХТК парк цистерн для перевозок СУГ; сильный fleet-сигнал, но меньше релевантности к предиктиву технологического оборудования.</t>
  </si>
  <si>
    <t>АО «СОВ-НКНХ»</t>
  </si>
  <si>
    <t>Сервис / инфраструктура</t>
  </si>
  <si>
    <t>Инфраструктурный сервис с оборудованием и ПБ/экологией; прямых сигналов ТОиР/предиктива в проходе №1 мало.</t>
  </si>
  <si>
    <t>АО «Кордиант» / Ярославский шинный завод</t>
  </si>
  <si>
    <t>Monitor</t>
  </si>
  <si>
    <t>Активоёмкое производство, но как текущая дочка СИБУРа спорно; прямых сигналов ТОиР/предиктива в рамках прохода №1 не найдено.</t>
  </si>
  <si>
    <t>Пока мониторинг</t>
  </si>
  <si>
    <t>АО «СИБУР-ПЭТФ»</t>
  </si>
  <si>
    <t>Активоёмкая химическая площадка, но в проходе №1 прямых сигналов цифрового ТОиР/предиктива не найдено.</t>
  </si>
  <si>
    <t>АО «Уралоргсинтез»</t>
  </si>
  <si>
    <t>Химическое производство с базовым fit по оборудованию, но прямых свежих сигналов ТОиР/цифровизации в проходе №1 не найдено.</t>
  </si>
  <si>
    <t>ООО «НПП «Нефтехимия»</t>
  </si>
  <si>
    <t>Производственный fit есть, но в проходе №1 прямых intent-сигналов ТОиР/предиктива мало.</t>
  </si>
  <si>
    <t>ООО «СИБУР ПОЛИЛАБ»</t>
  </si>
  <si>
    <t>R&amp;D / лаборатории</t>
  </si>
  <si>
    <t>Сильный AI/R&amp;D сигнал, но слабее эксплуатационный fit для ТОиР/диагностики оборудования; может быть источником внутренней экспертизы/инфлюенсером.</t>
  </si>
  <si>
    <t>ООО «УК “Портэнерго”»</t>
  </si>
  <si>
    <t>Управление / сервис</t>
  </si>
  <si>
    <t>Связана с терминалом, но как УК имеет меньший прямой fit; может быть полезной как административный вход к Портэнерго.</t>
  </si>
  <si>
    <t>ОАО «ЭКТОС-Волга»</t>
  </si>
  <si>
    <t>Производство / партнерский актив</t>
  </si>
  <si>
    <t>Химический fit умеренный, но прямых сигналов по текущим цифровым/ремонтным инициативам не найдено.</t>
  </si>
  <si>
    <t>ООО «Новые ресурсы»</t>
  </si>
  <si>
    <t>Капстроительство / проекты</t>
  </si>
  <si>
    <t>Сильный триггер по капстроительству, но слабый fit для Smart ТОиР/диагностики как эксплуатанта оборудования; интереснее как вход в новые проекты.</t>
  </si>
  <si>
    <t>ООО «Эластокам»</t>
  </si>
  <si>
    <t>Производственный fit есть, но прямых цифровых или ремонтных intent-сигналов в проходе №1 не найдено.</t>
  </si>
  <si>
    <t>ООО Трест «Татспецнефтехимремстрой» / «ТСНХРС»</t>
  </si>
  <si>
    <t>Ремонт / строительство</t>
  </si>
  <si>
    <t>Сильный сервисно-ремонтный контур, но как подрядчик/трест не является основной целью предиктива; может быть каналом влияния на ремонтные процессы НКНХ.</t>
  </si>
  <si>
    <t>АО «СИБУР-РТ»</t>
  </si>
  <si>
    <t>Управляющее / сервисное</t>
  </si>
  <si>
    <t>Скорее административно-сервисный контур, чем эксплуатант критичного оборудования; может быть полезен как организационный вход в Татарстан.</t>
  </si>
  <si>
    <t>Методология прохода №1</t>
  </si>
  <si>
    <t>Скоринг 0–3 по каждому из 20 критериев: 0 = не найдено; 1 = косвенный сигнал; 2 = прямой/умеренный; 3 = сильный свежий/явный сигнал.</t>
  </si>
  <si>
    <t>Fit Score = C13+C14+C15+C16+C17. Intent Score = C1–C9 + C18+C19. Trigger Score = C10+C11+C12+C20. Total = сумма C1–C20, максимум 60.</t>
  </si>
  <si>
    <t>Это быстрый скрининг, а не deep research. Источники в ячейках — найденные публичные опоры, не исчерпывающий due diligence.</t>
  </si>
  <si>
    <t>ППО</t>
  </si>
  <si>
    <t>Юрлицо</t>
  </si>
  <si>
    <t>Чем занимается кратко</t>
  </si>
  <si>
    <t>ИНН</t>
  </si>
  <si>
    <t>Выручка</t>
  </si>
  <si>
    <t>Сайт</t>
  </si>
  <si>
    <t>Уверенность</t>
  </si>
  <si>
    <t>Найденные сигналы / гипотеза</t>
  </si>
  <si>
    <t>URL-источники</t>
  </si>
  <si>
    <t>Fit Score</t>
  </si>
  <si>
    <t>Intent Score</t>
  </si>
  <si>
    <t>Trigger Score</t>
  </si>
  <si>
    <t>Total Score</t>
  </si>
  <si>
    <t>C1 ТОиР / EAM</t>
  </si>
  <si>
    <t>C2 Предиктив / диагностика</t>
  </si>
  <si>
    <t>C3 ПРАНА</t>
  </si>
  <si>
    <t>C4 Текущий стек ТОиР/APM</t>
  </si>
  <si>
    <t>C5 Цифровизация производства</t>
  </si>
  <si>
    <t>C6 АСУТП / IIoT / датчики</t>
  </si>
  <si>
    <t>C7 Мобильные обходы / цифровые ремонты</t>
  </si>
  <si>
    <t>C8 Вакансии ТОиР/надежность</t>
  </si>
  <si>
    <t>C9 Вакансии data/ML/аналитика</t>
  </si>
  <si>
    <t>C10 Смена руководства / ИТ</t>
  </si>
  <si>
    <t>C11 Инциденты / остановы / риски</t>
  </si>
  <si>
    <t>C12 Модернизация / капвложения</t>
  </si>
  <si>
    <t>C13 Критичное вращающееся оборудование</t>
  </si>
  <si>
    <t>C14 Непрерывное / крупнотоннажное производство</t>
  </si>
  <si>
    <t>C15 Большой парк оборудования</t>
  </si>
  <si>
    <t>C16 Распределенная география</t>
  </si>
  <si>
    <t>C17 Расходы на ремонты / ЗИП / подрядчиков</t>
  </si>
  <si>
    <t>C18 Тендеры по диагностике/ремонтам/ПО</t>
  </si>
  <si>
    <t>C19 Импортозамещение ПО/технологий</t>
  </si>
  <si>
    <t>C20 ESG / ПБ / энергоэффективность</t>
  </si>
  <si>
    <t>ППО «Воронежсинтезкаучук»</t>
  </si>
  <si>
    <t>Синтетические каучуки, термоэластопласты</t>
  </si>
  <si>
    <t>3663002167</t>
  </si>
  <si>
    <t>15,4 млрд ₽</t>
  </si>
  <si>
    <t>sibur.ru/voronejkauchuk</t>
  </si>
  <si>
    <t>Высокая</t>
  </si>
  <si>
    <t>https://www.sibur.ru/ru/press-center/news-and-press/SIBUR-provel-vorkshop-na-festivale-internet-tekhnologiy-v-Voronezhe/
https://www.sibur.ru/voronejkauchuk/press-center/voronezhsintezkauchuk-napravil-bolee-3-mlrd-rubley-na-povyshenie-nadezhnosti-i-ekologichnosti-predpr/</t>
  </si>
  <si>
    <t>ППО «Ярославский Шинный Завод»</t>
  </si>
  <si>
    <t>Производство шин; исторический актив</t>
  </si>
  <si>
    <t>7601001509</t>
  </si>
  <si>
    <t>54,3 млрд ₽</t>
  </si>
  <si>
    <t>cordiant-tyre.ru/production/yaroslavl</t>
  </si>
  <si>
    <t>Низкая</t>
  </si>
  <si>
    <t>ППО «КЗСК»</t>
  </si>
  <si>
    <t>Синтетический каучук</t>
  </si>
  <si>
    <t>2462004363</t>
  </si>
  <si>
    <t>7,8 млрд ₽</t>
  </si>
  <si>
    <t>sibur.ru/kzsk</t>
  </si>
  <si>
    <t>Средняя</t>
  </si>
  <si>
    <t>https://www.sibur.ru/kzsk/press-center/kauchuki-krasnoyarskogo-zavoda-sinteticheskogo-kauchuka-v-reestre-rossiyskoy-promyshlennoy-produktsi/
https://career.sibur.ru/blog/kto-takoy-inzhener-opredelenie-i-rol-v-obshchestve/</t>
  </si>
  <si>
    <t>ППО «ПОЛИЭФ»</t>
  </si>
  <si>
    <t>Терефталевая кислота, ПЭТФ/ПЭТ</t>
  </si>
  <si>
    <t>0258005638</t>
  </si>
  <si>
    <t>9,1 млрд ₽</t>
  </si>
  <si>
    <t>sibur.ru/polief</t>
  </si>
  <si>
    <t>Средняя-низкая</t>
  </si>
  <si>
    <t>https://career.sibur.ru/blog/kto-takoy-inzhener-opredelenie-i-rol-v-obshchestve/
https://www.sibur.ru/digital/</t>
  </si>
  <si>
    <t>Энергоснабжение / энергоменеджмент</t>
  </si>
  <si>
    <t>7727276526</t>
  </si>
  <si>
    <t>33,2 млрд ₽</t>
  </si>
  <si>
    <t>sibur.ru</t>
  </si>
  <si>
    <t>https://ker-eng.com/proekty/po-napravleniyu/montazh-remont-servisnoe-i-tekhnicheskoe-obsluzhivanie-asu-tp-kipia/
https://career.sibur.ru/vacancies/ekspert-rzia/
https://career.sibur.ru/blog/kto-takoy-inzhener-opredelenie-i-rol-v-obshchestve/</t>
  </si>
  <si>
    <t>ППО «Сибур-ПЭТФ»</t>
  </si>
  <si>
    <t>ПЭТФ-гранулят / полиэфирные материалы</t>
  </si>
  <si>
    <t>6903038398</t>
  </si>
  <si>
    <t>1,3 млрд ₽</t>
  </si>
  <si>
    <t>sibur.ru/SiburPETF</t>
  </si>
  <si>
    <t>Низкая-средняя</t>
  </si>
  <si>
    <t>ППО «Сибур-Химпром»</t>
  </si>
  <si>
    <t>Жидкие углеводороды, спирты, нефтехимическая продукция</t>
  </si>
  <si>
    <t>5905018998</t>
  </si>
  <si>
    <t>13,2 млрд ₽</t>
  </si>
  <si>
    <t>sibur.ru/SiburKhimprom</t>
  </si>
  <si>
    <t>https://www.cnews.ru/news/line/2019-09-19_permskaya_itkompaniya_databriz
https://career.sibur.ru/blog/kto-takoy-inzhener-opredelenie-i-rol-v-obshchestve/</t>
  </si>
  <si>
    <t>Производство, передача и распределение электроэнергии</t>
  </si>
  <si>
    <t>1655189422</t>
  </si>
  <si>
    <t>45,6 млрд ₽</t>
  </si>
  <si>
    <t>tgc16.ru</t>
  </si>
  <si>
    <t>Средняя-высокая</t>
  </si>
  <si>
    <t>https://www.tgc16.ru/
https://zakupki.kontur.ru/OC566284
https://ker-eng.com/proekty/po-napravleniyu/montazh-remont-servisnoe-i-tekhnicheskoe-obsluzhivanie-asu-tp-kipia/</t>
  </si>
  <si>
    <t>ППО «Уралоргсинтез»</t>
  </si>
  <si>
    <t>Органический синтез, нефтехимическая продукция</t>
  </si>
  <si>
    <t>5920014645</t>
  </si>
  <si>
    <t>3,9 млрд ₽</t>
  </si>
  <si>
    <t>ektosintez.ru</t>
  </si>
  <si>
    <t>ППО КАО «Азот»</t>
  </si>
  <si>
    <t>Удобрения, аммиак, капролактам</t>
  </si>
  <si>
    <t>4205000908</t>
  </si>
  <si>
    <t>65,4 млрд ₽ за 2021</t>
  </si>
  <si>
    <t>kao-azot.com</t>
  </si>
  <si>
    <t>ППО «БИАКСПЛЕН»</t>
  </si>
  <si>
    <t>БОПП-плёнки</t>
  </si>
  <si>
    <t>5244013331</t>
  </si>
  <si>
    <t>22,1 млрд ₽</t>
  </si>
  <si>
    <t>sibur.ru/biaxplen</t>
  </si>
  <si>
    <t>https://simit.su/projects/sibur-biaksplen-g-zheleznodorozhnyj-modernizacija-asu-tp-linii-proizvodstva/
https://www.sibur.ru/biaxplen/ru/press-center/rabotayushchiy-v-sostave-sibura-biaksplen-avtomatiziruet-rutinnye-protsessy-s-ispolzovaniem-robotov/</t>
  </si>
  <si>
    <t>ППО «ЗапСибНефтехим»</t>
  </si>
  <si>
    <t>Полиэтилен, полипропилен, базовые полимеры</t>
  </si>
  <si>
    <t>1658087524</t>
  </si>
  <si>
    <t>313,1 млрд ₽</t>
  </si>
  <si>
    <t>sibur.ru/zapsibneftekhim</t>
  </si>
  <si>
    <t>https://www.sibur.ru/zapsibneftekhim/press-center/zapsibneftekhim-sokrashchaet-sroki-obsluzhivaniya-tekhnologicheskogo-oborudovaniya-blagodarya-modern/
https://t.me/s/siburholdingprocurement?before=316
https://www.sibur.ru/digital/
https://www.tadviser.ru/index.php/Статья:Цифровизация_Сибура</t>
  </si>
  <si>
    <t>Трубопроводная инфраструктура / транспортировка продуктов переработки</t>
  </si>
  <si>
    <t>8603166755</t>
  </si>
  <si>
    <t>9,0 млрд ₽</t>
  </si>
  <si>
    <t>sibur.ru / old.sibur.ru</t>
  </si>
  <si>
    <t>https://www.sibur.ru/zapsibtransgaz/press-center/zapsibtransgaz-provodit-planovye-remontnye-raboty-c-tselyu-povysheniya-nadezhnosti-gazotransportnoy-/</t>
  </si>
  <si>
    <t>ППО «Новые ресурсы»</t>
  </si>
  <si>
    <t>Заказчик-застройщик / генподрядчик / проектные функции</t>
  </si>
  <si>
    <t>9727077820</t>
  </si>
  <si>
    <t>12,2 млрд ₽</t>
  </si>
  <si>
    <t>—</t>
  </si>
  <si>
    <t>https://www.sibur.ru/ru/press-center/news-and-press/sibur-i-asu-dogovorilis-o-sotrudnichestve-v-oblasti-tsifrovykh-resheniy-dlya-kapitalnogo-stroitelstv/</t>
  </si>
  <si>
    <t>ППО «НПП «Нефтехимия»</t>
  </si>
  <si>
    <t>Полипропилен, пластики, нефтехимическая продукция</t>
  </si>
  <si>
    <t>7723332561</t>
  </si>
  <si>
    <t>10,3 млрд ₽</t>
  </si>
  <si>
    <t>neftekhimia.ru</t>
  </si>
  <si>
    <t>https://career.sibur.ru/blog/kto-takoy-inzhener-opredelenie-i-rol-v-obshchestve/</t>
  </si>
  <si>
    <t>ППО ООО «НХТК»</t>
  </si>
  <si>
    <t>Нефтехимическая транспортная компания, логистика/цистерны</t>
  </si>
  <si>
    <t>7727344230</t>
  </si>
  <si>
    <t>45,9 млрд ₽</t>
  </si>
  <si>
    <t>https://www.sibur.ru/ru/press-center/news-and-press/SIBUR-i-SG-trans-sozdali-sovmestnoe-predpriyatie-dlya-transportirovki-neftekhimicheskoy-produktsii/</t>
  </si>
  <si>
    <t>Омский завод полипропилена, СП с Газпром нефтью</t>
  </si>
  <si>
    <t>5501085734</t>
  </si>
  <si>
    <t>20,1 млрд ₽ за 2024</t>
  </si>
  <si>
    <t>poliom-omsk.ru</t>
  </si>
  <si>
    <t>ППО «Портэнерго»</t>
  </si>
  <si>
    <t>Логистический центр в Усть-Луге, перевалка СУГ и светлых нефтепродуктов</t>
  </si>
  <si>
    <t>4707020432</t>
  </si>
  <si>
    <t>portenergo.com</t>
  </si>
  <si>
    <t>https://www.sibur.ru/ru/press-center/news-and-press/sibur_pristupaet_k_stroitelstvu_morskogo_terminala_v_leningradskoy_oblasti/
https://t.me/s/siburholdingprocurement?before=316</t>
  </si>
  <si>
    <t>ППО «РусВинил»</t>
  </si>
  <si>
    <t>ПВХ, каустическая сода, гипохлорит натрия</t>
  </si>
  <si>
    <t>5262218620</t>
  </si>
  <si>
    <t>28,7 млрд ₽</t>
  </si>
  <si>
    <t>sibur.ru/rusvinyl/ru</t>
  </si>
  <si>
    <t>ППО «СИБУР-Кстово»</t>
  </si>
  <si>
    <t>Нефтехимическая площадка / производство химпродукции</t>
  </si>
  <si>
    <t>5250051800</t>
  </si>
  <si>
    <t>10,2 млрд ₽</t>
  </si>
  <si>
    <t>https://www.sibur.ru/ru/press-center/news-and-press/SIBUR-provel-vorkshop-na-festivale-internet-tekhnologiy-v-Voronezhe/
https://career.sibur.ru/blog/kto-takoy-inzhener-opredelenie-i-rol-v-obshchestve/</t>
  </si>
  <si>
    <t>ППО «Томскнефтехим»</t>
  </si>
  <si>
    <t>Полипропилен и полиэтилен низкой плотности</t>
  </si>
  <si>
    <t>7017075536</t>
  </si>
  <si>
    <t>13 млрд ₽ за 2021</t>
  </si>
  <si>
    <t>sibur.ru/TomskNeftehim</t>
  </si>
  <si>
    <t>https://www.sibur.ru/ru/press-center/news-and-press/SIBUR-provel-vorkshop-na-festivale-internet-tekhnologiy-v-Voronezhe/
https://www.sibur.ru/biaxplen/ru/press-center/rabotayushchiy-v-sostave-sibura-biaksplen-avtomatiziruet-rutinnye-protsessy-s-ispolzovaniem-robotov/
https://career.sibur.ru/blog/kto-takoy-inzhener-opredelenie-i-rol-v-obshchestve/</t>
  </si>
  <si>
    <t>Управляющая компания терминала Портэнерго</t>
  </si>
  <si>
    <t>4707037370</t>
  </si>
  <si>
    <t>61,2 млн ₽</t>
  </si>
  <si>
    <t>https://www.sibur.ru/ru/press-center/news-and-press/sibur_pristupaet_k_stroitelstvu_morskogo_terminala_v_leningradskoy_oblasti/</t>
  </si>
  <si>
    <t>ППО «Казаньоргсинтез»</t>
  </si>
  <si>
    <t>Полиэтилены, поликарбонаты, химическая продукция</t>
  </si>
  <si>
    <t>1658008723</t>
  </si>
  <si>
    <t>99,8 млрд ₽</t>
  </si>
  <si>
    <t>sibur.ru/kazanorgsintez</t>
  </si>
  <si>
    <t>https://www.sibur.ru/kazanorgsintez/ru/press-center/kazanorgsintez-pristupil-k-planovomu-ostanovochnomu-remontu-proizvodstvennykh-moshchnostey/
https://www.tadviser.ru/index.php/Статья:Цифровизация_Сибура
https://career.sibur.ru/blog/kto-takoy-inzhener-opredelenie-i-rol-v-obshchestve/</t>
  </si>
  <si>
    <t>ППО «Нижнекамскнефтехим»</t>
  </si>
  <si>
    <t>Синтетические каучуки и пластики</t>
  </si>
  <si>
    <t>1651000010</t>
  </si>
  <si>
    <t>244,3 млрд ₽</t>
  </si>
  <si>
    <t>sibur.ru/nknh</t>
  </si>
  <si>
    <t>https://www.sibur.ru/ru/press-center/news-and-press/sibur-zavershil-stroitelstvo-ep-600/
https://www.sibur.ru/nknh/ru/press-center/sibur-uvelichil-mezhremontnyy-interval-i-povysil-nadezhnost-klyuchevykh-proizvodstv-nizhnekamsknefte/
https://www.sibur.ru/kazanorgsintez/ru/press-center/kazanorgsintez-pristupil-k-planovomu-ostanovochnomu-remontu-proizvodstvennykh-moshchnostey/
https://www.tadviser.ru/index.php/Статья:Цифровизация_Сибура</t>
  </si>
  <si>
    <t>ППО «СИБУР-РТ»</t>
  </si>
  <si>
    <t>Управляющее/сервисное юрлицо в татарстанском контуре</t>
  </si>
  <si>
    <t>1655020761</t>
  </si>
  <si>
    <t>3,3 млрд ₽</t>
  </si>
  <si>
    <t>https://www.sibur.ru/ru/press-center/news-and-press/sibur-zavershil-stroitelstvo-ep-600/
https://www.sibur.ru/kazanorgsintez/ru/press-center/kazanorgsintez-pristupil-k-planovomu-ostanovochnomu-remontu-proizvodstvennykh-moshchnostey/</t>
  </si>
  <si>
    <t>ППО «СОВ Нижнекамскнефтехим»</t>
  </si>
  <si>
    <t>Сервисное общество / водоочистка и коммунальная инфраструктура</t>
  </si>
  <si>
    <t>1651052730</t>
  </si>
  <si>
    <t>431,0 млн ₽</t>
  </si>
  <si>
    <t>https://www.sibur.ru/ru/press-center/news-and-press/sibur-zavershil-stroitelstvo-ep-600/
https://career.sibur.ru/blog/kto-takoy-inzhener-opredelenie-i-rol-v-obshchestve/</t>
  </si>
  <si>
    <t>ППО «Эктос-Волга»</t>
  </si>
  <si>
    <t>МТБЭ / продукция органического синтеза</t>
  </si>
  <si>
    <t>3435801192</t>
  </si>
  <si>
    <t>0,9 млрд ₽ за 2021</t>
  </si>
  <si>
    <t>mtbe-vlz.ru / ektosintez.ru</t>
  </si>
  <si>
    <t>ППО «Амурский ГХК»</t>
  </si>
  <si>
    <t>Строящийся/развиваемый газохимический комплекс, ПЭ/ПП</t>
  </si>
  <si>
    <t>2807043990</t>
  </si>
  <si>
    <t>383,3 млн ₽</t>
  </si>
  <si>
    <t>amur-gcc.ru</t>
  </si>
  <si>
    <t>https://amur-gcc.ru/press/amurskiy-gkhk-sozdaet-samyy-tekhnologichnyy-umnyy-logisticheskiy-kompleks-na-dalnem-vostoke-/
https://www.sibur.ru/digital/</t>
  </si>
  <si>
    <t>ППО «СИБУР Полилаб»</t>
  </si>
  <si>
    <t>R&amp;D, испытания и разработка решений для полимеров</t>
  </si>
  <si>
    <t>7731367261</t>
  </si>
  <si>
    <t>1,8 млрд ₽</t>
  </si>
  <si>
    <t>polylab.sibur.ru</t>
  </si>
  <si>
    <t>https://www.sibur.ru/ru/press-center/news-and-press/v-sibure-predstavili-podkhod-k-primeneniyu-iskusstvennogo-intellekta-v-prikladnykh-issledovaniyakh-i/
https://www.sibur.ru/digital/</t>
  </si>
  <si>
    <t>Управляющая организация ПАО «СИБУР Холдинг»</t>
  </si>
  <si>
    <t>7727576505</t>
  </si>
  <si>
    <t>36,8 млрд ₽ за 2024</t>
  </si>
  <si>
    <t>https://www.sibur.ru/digital/
https://www.tadviser.ru/index.php/Статья:Цифровизация_Сибура
https://www.sibur.ru/ru/press-center/news-and-press/sibur-i-ao-rds-zaklyuchili-memorandum-o-sotrudnichestve-v-sfere-tsifrovizatsii-promyshlennykh-predpr/
https://career.sibur.ru/blog/kto-takoy-inzhener-opredelenie-i-rol-v-obshchestve/</t>
  </si>
  <si>
    <t>ППО «УЭТП-НКНХ»</t>
  </si>
  <si>
    <t>Эксплуатация/транспортировка по этиленопроводам</t>
  </si>
  <si>
    <t>1651070377</t>
  </si>
  <si>
    <t>2,6 млрд ₽</t>
  </si>
  <si>
    <t>https://www.sibur.ru/zapsibtransgaz/press-center/zapsibtransgaz-provodit-planovye-remontnye-raboty-c-tselyu-povysheniya-nadezhnosti-gazotransportnoy-/
https://www.sibur.ru/ru/press-center/news-and-press/sibur-zavershil-stroitelstvo-ep-600/</t>
  </si>
  <si>
    <t>Полиуретановые системы / полимерные материалы</t>
  </si>
  <si>
    <t>1651027131</t>
  </si>
  <si>
    <t>5,7 млрд ₽ за 2025</t>
  </si>
  <si>
    <t>ППО трест «ТСНХРС»</t>
  </si>
  <si>
    <t>Строительно-монтажные и ремонтные работы</t>
  </si>
  <si>
    <t>1651000034</t>
  </si>
  <si>
    <t>3,5 млрд ₽</t>
  </si>
  <si>
    <t>tsnhrs.ru</t>
  </si>
  <si>
    <t>https://www.sibur.ru/nknh/ru/press-center/sibur-uvelichil-mezhremontnyy-interval-i-povysil-nadezhnost-klyuchevykh-proizvodstv-nizhnekamsknefte/
https://www.sibur.ru/kazanorgsintez/ru/press-center/kazanorgsintez-pristupil-k-planovomu-ostanovochnomu-remontu-proizvodstvennykh-moshchnostey/</t>
  </si>
  <si>
    <t>Код</t>
  </si>
  <si>
    <t>Критерий</t>
  </si>
  <si>
    <t>Описание</t>
  </si>
  <si>
    <t>Как скорить</t>
  </si>
  <si>
    <t>C1</t>
  </si>
  <si>
    <t>ТОиР / EAM</t>
  </si>
  <si>
    <t>Упоминание ТОиР, EAM, планирования ремонтов, управления надежностью</t>
  </si>
  <si>
    <t>0 = не найдено; 1 = косвенный сигнал; 2 = прямой/умеренный сигнал; 3 = сильный свежий или явный сигнал</t>
  </si>
  <si>
    <t>C2</t>
  </si>
  <si>
    <t>Предиктив / диагностика</t>
  </si>
  <si>
    <t>Упоминание предиктивной диагностики, прогнозирования отказов, мониторинга состояния</t>
  </si>
  <si>
    <t>C3</t>
  </si>
  <si>
    <t>ПРАНА</t>
  </si>
  <si>
    <t>Наличие прямого следа ПРАНА / РОТЕК / прогнозная аналитика по объекту</t>
  </si>
  <si>
    <t>C4</t>
  </si>
  <si>
    <t>Текущий стек ТОиР/APM</t>
  </si>
  <si>
    <t>След 1С:ТОИР, Галактика EAM/ERP, GE SmartSignal/Meridium, SAP PM/Maximo или близких систем</t>
  </si>
  <si>
    <t>C5</t>
  </si>
  <si>
    <t>Цифровизация производства</t>
  </si>
  <si>
    <t>Новости/кейсы цифровой трансформации производства, цифровые платформы, умный завод</t>
  </si>
  <si>
    <t>C6</t>
  </si>
  <si>
    <t>АСУТП / IIoT / датчики</t>
  </si>
  <si>
    <t>АСУТП, SCADA, КИПиА, IIoT, сенсоры, телеметрия, APC/RTO</t>
  </si>
  <si>
    <t>C7</t>
  </si>
  <si>
    <t>Мобильные обходы / цифровые ремонты</t>
  </si>
  <si>
    <t>Мобильный ТОиР, электронные наряд-допуски, цифровые ремонты, Горизонт, обходы</t>
  </si>
  <si>
    <t>C8</t>
  </si>
  <si>
    <t>Вакансии ТОиР/надежность</t>
  </si>
  <si>
    <t>Открытые вакансии или карьерные материалы по ТОиР, надежности, диагностике, КИПиА</t>
  </si>
  <si>
    <t>C9</t>
  </si>
  <si>
    <t>Вакансии data/ML/аналитика</t>
  </si>
  <si>
    <t>Вакансии/публичная активность по data science, промышленной аналитике, ML/AI</t>
  </si>
  <si>
    <t>C10</t>
  </si>
  <si>
    <t>Смена руководства / ИТ</t>
  </si>
  <si>
    <t>Назначения директора, главного инженера, CIO/CTO, руководителей производственного/ИТ-блока</t>
  </si>
  <si>
    <t>C11</t>
  </si>
  <si>
    <t>Инциденты / остановы / риски</t>
  </si>
  <si>
    <t>Аварии, остановы, предписания, крупные остановочные ремонты, риск внеплановых остановок</t>
  </si>
  <si>
    <t>C12</t>
  </si>
  <si>
    <t>Модернизация / капвложения</t>
  </si>
  <si>
    <t>Модернизация, техперевооружение, реконструкция, новые мощности, капстроительство</t>
  </si>
  <si>
    <t>C13</t>
  </si>
  <si>
    <t>Критичное вращающееся оборудование</t>
  </si>
  <si>
    <t>Насосы, компрессоры, турбины, вентиляторы, экструдеры, грануляторы и т.п.</t>
  </si>
  <si>
    <t>C14</t>
  </si>
  <si>
    <t>Непрерывное / крупнотоннажное производство</t>
  </si>
  <si>
    <t>Непрерывные технологические процессы, крупнотоннажная нефтехимия/энергетика/логистика</t>
  </si>
  <si>
    <t>C15</t>
  </si>
  <si>
    <t>Большой парк оборудования</t>
  </si>
  <si>
    <t>Много однотипных единиц оборудования, линий, установок, трубопроводов, цистерн</t>
  </si>
  <si>
    <t>C16</t>
  </si>
  <si>
    <t>Распределенная география</t>
  </si>
  <si>
    <t>Несколько площадок, филиалы, удаленные объекты, распределенная сеть</t>
  </si>
  <si>
    <t>C17</t>
  </si>
  <si>
    <t>Расходы на ремонты / ЗИП / подрядчиков</t>
  </si>
  <si>
    <t>Сигналы закупок/ремонтов/подрядчиков/ремонтных программ</t>
  </si>
  <si>
    <t>C18</t>
  </si>
  <si>
    <t>Тендеры по диагностике/ремонтам/ПО</t>
  </si>
  <si>
    <t>Закупки на ТОиР, диагностику, КИПиА, АСУТП, обслуживание, ремонтное ПО</t>
  </si>
  <si>
    <t>C19</t>
  </si>
  <si>
    <t>Импортозамещение ПО/технологий</t>
  </si>
  <si>
    <t>Замещение GE/SAP/зарубежного ПО, импортозамещение оборудования/технологий</t>
  </si>
  <si>
    <t>C20</t>
  </si>
  <si>
    <t>ESG / ПБ / энергоэффективность</t>
  </si>
  <si>
    <t>Промбезопасность, снижение рисков/выбросов, энергоэффективность, устойчивость</t>
  </si>
  <si>
    <t>Ключ</t>
  </si>
  <si>
    <t>URL</t>
  </si>
  <si>
    <t>Зачем использован</t>
  </si>
  <si>
    <t>sibur_digital</t>
  </si>
  <si>
    <t>https://www.sibur.ru/digital/</t>
  </si>
  <si>
    <t>Групповые цифровые сигналы: ERP, MES/SCADA, Data Science, IoT, AI/ML</t>
  </si>
  <si>
    <t>career_engineer</t>
  </si>
  <si>
    <t>Карьерный сигнал по инженерам: ТОиР, предиктивная аналитика, SAP, аварийный ремонт</t>
  </si>
  <si>
    <t>career_rzia</t>
  </si>
  <si>
    <t>https://career.sibur.ru/vacancies/ekspert-rzia/</t>
  </si>
  <si>
    <t>Вакансия/карьерный сигнал по надежности РЗиА, отказам, ТОиР и риск-ориентированному подходу</t>
  </si>
  <si>
    <t>vsk_digital</t>
  </si>
  <si>
    <t>https://www.sibur.ru/ru/press-center/news-and-press/SIBUR-provel-vorkshop-na-festivale-internet-tekhnologiy-v-Voronezhe/</t>
  </si>
  <si>
    <t>Воронежсинтезкаучук: мобильный ТОиР, техническое зрение, 3D-сканер/принтер</t>
  </si>
  <si>
    <t>vsk_reliability</t>
  </si>
  <si>
    <t>https://www.sibur.ru/voronejkauchuk/press-center/voronezhsintezkauchuk-napravil-bolee-3-mlrd-rubley-na-povyshenie-nadezhnosti-i-ekologichnosti-predpr/</t>
  </si>
  <si>
    <t>Воронежсинтезкаучук: вложения в надежность и экологичность</t>
  </si>
  <si>
    <t>nknh_ep600</t>
  </si>
  <si>
    <t>https://www.sibur.ru/ru/press-center/news-and-press/sibur-zavershil-stroitelstvo-ep-600/</t>
  </si>
  <si>
    <t>НКНХ/ЭП-600: предиктивная аналитика, 70 000 датчиков, автоматизация</t>
  </si>
  <si>
    <t>nknh_horizon</t>
  </si>
  <si>
    <t>https://www.sibur.ru/nknh/ru/press-center/sibur-uvelichil-mezhremontnyy-interval-i-povysil-nadezhnost-klyuchevykh-proizvodstv-nizhnekamsknefte/</t>
  </si>
  <si>
    <t>НКНХ: цифровая платформа ремонтов Горизонт от диагностики до анализа итогов</t>
  </si>
  <si>
    <t>kos_repair</t>
  </si>
  <si>
    <t>https://www.sibur.ru/kazanorgsintez/ru/press-center/kazanorgsintez-pristupil-k-planovomu-ostanovochnomu-remontu-proizvodstvennykh-moshchnostey/</t>
  </si>
  <si>
    <t>Казаньоргсинтез: 3453 единицы оборудования, цифровой остановочный ремонт, Горизонт, наряды</t>
  </si>
  <si>
    <t>zsn_repair</t>
  </si>
  <si>
    <t>https://www.sibur.ru/zapsibneftekhim/press-center/zapsibneftekhim-sokrashchaet-sroki-obsluzhivaniya-tekhnologicheskogo-oborudovaniya-blagodarya-modern/</t>
  </si>
  <si>
    <t>ЗапСибНефтехим: модернизация ремонтного комплекса, ЧПУ, цифровые модели деталей</t>
  </si>
  <si>
    <t>zstg_repair</t>
  </si>
  <si>
    <t>Запсибтрансгаз: диагностика и ремонты трубопроводов, система обнаружения утечек</t>
  </si>
  <si>
    <t>biax_asutp</t>
  </si>
  <si>
    <t>https://simit.su/projects/sibur-biaksplen-g-zheleznodorozhnyj-modernizacija-asu-tp-linii-proizvodstva/</t>
  </si>
  <si>
    <t>БИАКСПЛЕН: модернизация АСУТП, замена &gt;103 преобразователей</t>
  </si>
  <si>
    <t>biax_robots</t>
  </si>
  <si>
    <t>https://www.sibur.ru/biaxplen/ru/press-center/rabotayushchiy-v-sostave-sibura-biaksplen-avtomatiziruet-rutinnye-protsessy-s-ispolzovaniem-robotov/</t>
  </si>
  <si>
    <t>БИАКСПЛЕН: роботы на площадках Балахна/Томск</t>
  </si>
  <si>
    <t>kzsk_invest</t>
  </si>
  <si>
    <t>https://www.sibur.ru/kzsk/press-center/kauchuki-krasnoyarskogo-zavoda-sinteticheskogo-kauchuka-v-reestre-rossiyskoy-promyshlennoy-produktsi/</t>
  </si>
  <si>
    <t>КЗСК: инвестиционный проект и увеличение мощности</t>
  </si>
  <si>
    <t>databriz</t>
  </si>
  <si>
    <t>https://www.cnews.ru/news/line/2019-09-19_permskaya_itkompaniya_databriz</t>
  </si>
  <si>
    <t>СИБУР-Химпром: цифровое приложение остановочных ремонтов DataBriz</t>
  </si>
  <si>
    <t>tgc16</t>
  </si>
  <si>
    <t>https://www.tgc16.ru/</t>
  </si>
  <si>
    <t>ТГК-16: энергетический профиль</t>
  </si>
  <si>
    <t>tgc16_tender</t>
  </si>
  <si>
    <t>https://zakupki.kontur.ru/OC566284</t>
  </si>
  <si>
    <t>ТГК-16: тендер на ТО средств АСУТП/КИПиА</t>
  </si>
  <si>
    <t>tgc16_asutp</t>
  </si>
  <si>
    <t>https://ker-eng.com/proekty/po-napravleniyu/montazh-remont-servisnoe-i-tekhnicheskoe-obsluzhivanie-asu-tp-kipia/</t>
  </si>
  <si>
    <t>ТГК-16: проекты по ремонту/обслуживанию АСУТП/КИПиА</t>
  </si>
  <si>
    <t>agkh_digital</t>
  </si>
  <si>
    <t>https://amur-gcc.ru/press/amurskiy-gkhk-sozdaet-samyy-tekhnologichnyy-umnyy-logisticheskiy-kompleks-na-dalnem-vostoke-/</t>
  </si>
  <si>
    <t>Амурский ГХК: умный логистический комплекс, датчики/лидары</t>
  </si>
  <si>
    <t>portenergo</t>
  </si>
  <si>
    <t>Портэнерго: терминал СУГ/нефтепродуктов</t>
  </si>
  <si>
    <t>portenergo_tender</t>
  </si>
  <si>
    <t>https://t.me/s/siburholdingprocurement?before=316</t>
  </si>
  <si>
    <t>Публичные закупочные сигналы СИБУР/Портэнерго и ТОиР оборудования</t>
  </si>
  <si>
    <t>nhtk</t>
  </si>
  <si>
    <t>НХТК: парк цистерн для перевозок СУГ</t>
  </si>
  <si>
    <t>ge_replace</t>
  </si>
  <si>
    <t>https://www.tadviser.ru/index.php/Статья:Цифровизация_Сибура</t>
  </si>
  <si>
    <t>Групповой сигнал импортозамещения GE SmartSignal/Meridium и систем надежности</t>
  </si>
  <si>
    <t>comnews_ge</t>
  </si>
  <si>
    <t>https://www.comnews.ru/content/236580/2024-11-29/2024-w48/1008/2026-g-sibur-zapustit-marketpleys-tekhnologicheskogo-modelirovaniya</t>
  </si>
  <si>
    <t>Групповой сигнал СИБУР по замещению GE/Aspen и предиктивной диагностике</t>
  </si>
  <si>
    <t>rds</t>
  </si>
  <si>
    <t>https://www.sibur.ru/ru/press-center/news-and-press/sibur-i-ao-rds-zaklyuchili-memorandum-o-sotrudnichestve-v-sfere-tsifrovizatsii-promyshlennykh-predpr/</t>
  </si>
  <si>
    <t>СИБУР + РДС: предиктивная диагностика, производственный учет, цифровые двойники</t>
  </si>
  <si>
    <t>asu_capex</t>
  </si>
  <si>
    <t>СИБУР + АСУ: цифровизация капитального строительства</t>
  </si>
  <si>
    <t>polylab_ai</t>
  </si>
  <si>
    <t>https://www.sibur.ru/ru/press-center/news-and-press/v-sibure-predstavili-podkhod-k-primeneniyu-iskusstvennogo-intellekta-v-prikladnykh-issledovaniyakh-i/</t>
  </si>
  <si>
    <t>ПолиЛаб: AI в прикладных исследованиях и разработках</t>
  </si>
  <si>
    <t>spliteks</t>
  </si>
  <si>
    <t>https://www.sibur.ru/ru/press-center/news-and-press/na-predpriyatiyakh-sibura-budut-vnedreny-tekhnologicheskie-i-tsifrovye-resheniya-spliteks-dlya-povysh/</t>
  </si>
  <si>
    <t>Технологические и цифровые решения для эффективности промышленного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</si>
</sst>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64E3B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wrapText="1"/>
    </xf>
    <xf numFmtId="1" fontId="0" fillId="0" borderId="0" xfId="1" applyNumberFormat="1" applyFont="1" applyAlignment="1">
      <alignment horizontal="center" wrapText="1"/>
    </xf>
    <xf numFmtId="1" fontId="0" fillId="0" borderId="0" xfId="1" applyNumberFormat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0"/>
    <xf numFmtId="0" fontId="0" fillId="0" borderId="0" xfId="1" applyFont="1" applyAlignment="1">
      <alignment wrapText="1"/>
    </xf>
    <xf numFmtId="0" fontId="0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5">
    <dxf>
      <alignment horizontal="left" vertical="top" textRotation="0" wrapText="1" indent="0" justifyLastLine="0" shrinkToFit="0" readingOrder="0"/>
    </dxf>
    <dxf>
      <font>
        <color rgb="FF374151"/>
      </font>
      <fill>
        <patternFill patternType="solid">
          <bgColor rgb="FFF3F4F6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ummaryTable" displayName="SummaryTable" ref="A1:H34">
  <tableColumns count="8">
    <tableColumn id="1" xr3:uid="{00000000-0010-0000-0000-000001000000}" name="Ранг"/>
    <tableColumn id="2" xr3:uid="{00000000-0010-0000-0000-000002000000}" name="№"/>
    <tableColumn id="3" xr3:uid="{00000000-0010-0000-0000-000003000000}" name="Компания"/>
    <tableColumn id="4" xr3:uid="{00000000-0010-0000-0000-000004000000}" name="Тип/роль"/>
    <tableColumn id="5" xr3:uid="{00000000-0010-0000-0000-000005000000}" name="Total"/>
    <tableColumn id="6" xr3:uid="{00000000-0010-0000-0000-000006000000}" name="Tier"/>
    <tableColumn id="7" xr3:uid="{00000000-0010-0000-0000-000007000000}" name="Главный сигнал" dataDxfId="0"/>
    <tableColumn id="8" xr3:uid="{00000000-0010-0000-0000-000008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CPMatrixTable" displayName="ICPMatrixTable" ref="A1:AJ34">
  <tableColumns count="36">
    <tableColumn id="1" xr3:uid="{00000000-0010-0000-0100-000001000000}" name="№"/>
    <tableColumn id="2" xr3:uid="{00000000-0010-0000-0100-000002000000}" name="ППО"/>
    <tableColumn id="3" xr3:uid="{00000000-0010-0000-0100-000003000000}" name="Юрлицо"/>
    <tableColumn id="4" xr3:uid="{00000000-0010-0000-0100-000004000000}" name="Тип/роль"/>
    <tableColumn id="5" xr3:uid="{00000000-0010-0000-0100-000005000000}" name="Чем занимается кратко"/>
    <tableColumn id="6" xr3:uid="{00000000-0010-0000-0100-000006000000}" name="ИНН"/>
    <tableColumn id="7" xr3:uid="{00000000-0010-0000-0100-000007000000}" name="Выручка"/>
    <tableColumn id="8" xr3:uid="{00000000-0010-0000-0100-000008000000}" name="Сайт"/>
    <tableColumn id="9" xr3:uid="{00000000-0010-0000-0100-000009000000}" name="Уверенность"/>
    <tableColumn id="10" xr3:uid="{00000000-0010-0000-0100-00000A000000}" name="Найденные сигналы / гипотеза"/>
    <tableColumn id="11" xr3:uid="{00000000-0010-0000-0100-00000B000000}" name="URL-источники"/>
    <tableColumn id="12" xr3:uid="{00000000-0010-0000-0100-00000C000000}" name="Fit Score"/>
    <tableColumn id="13" xr3:uid="{00000000-0010-0000-0100-00000D000000}" name="Intent Score"/>
    <tableColumn id="14" xr3:uid="{00000000-0010-0000-0100-00000E000000}" name="Trigger Score"/>
    <tableColumn id="15" xr3:uid="{00000000-0010-0000-0100-00000F000000}" name="Total Score"/>
    <tableColumn id="16" xr3:uid="{00000000-0010-0000-0100-000010000000}" name="Tier"/>
    <tableColumn id="17" xr3:uid="{00000000-0010-0000-0100-000011000000}" name="C1 ТОиР / EAM"/>
    <tableColumn id="18" xr3:uid="{00000000-0010-0000-0100-000012000000}" name="C2 Предиктив / диагностика"/>
    <tableColumn id="19" xr3:uid="{00000000-0010-0000-0100-000013000000}" name="C3 ПРАНА"/>
    <tableColumn id="20" xr3:uid="{00000000-0010-0000-0100-000014000000}" name="C4 Текущий стек ТОиР/APM"/>
    <tableColumn id="21" xr3:uid="{00000000-0010-0000-0100-000015000000}" name="C5 Цифровизация производства"/>
    <tableColumn id="22" xr3:uid="{00000000-0010-0000-0100-000016000000}" name="C6 АСУТП / IIoT / датчики"/>
    <tableColumn id="23" xr3:uid="{00000000-0010-0000-0100-000017000000}" name="C7 Мобильные обходы / цифровые ремонты"/>
    <tableColumn id="24" xr3:uid="{00000000-0010-0000-0100-000018000000}" name="C8 Вакансии ТОиР/надежность"/>
    <tableColumn id="25" xr3:uid="{00000000-0010-0000-0100-000019000000}" name="C9 Вакансии data/ML/аналитика"/>
    <tableColumn id="26" xr3:uid="{00000000-0010-0000-0100-00001A000000}" name="C10 Смена руководства / ИТ"/>
    <tableColumn id="27" xr3:uid="{00000000-0010-0000-0100-00001B000000}" name="C11 Инциденты / остановы / риски"/>
    <tableColumn id="28" xr3:uid="{00000000-0010-0000-0100-00001C000000}" name="C12 Модернизация / капвложения"/>
    <tableColumn id="29" xr3:uid="{00000000-0010-0000-0100-00001D000000}" name="C13 Критичное вращающееся оборудование"/>
    <tableColumn id="30" xr3:uid="{00000000-0010-0000-0100-00001E000000}" name="C14 Непрерывное / крупнотоннажное производство"/>
    <tableColumn id="31" xr3:uid="{00000000-0010-0000-0100-00001F000000}" name="C15 Большой парк оборудования"/>
    <tableColumn id="32" xr3:uid="{00000000-0010-0000-0100-000020000000}" name="C16 Распределенная география"/>
    <tableColumn id="33" xr3:uid="{00000000-0010-0000-0100-000021000000}" name="C17 Расходы на ремонты / ЗИП / подрядчиков"/>
    <tableColumn id="34" xr3:uid="{00000000-0010-0000-0100-000022000000}" name="C18 Тендеры по диагностике/ремонтам/ПО"/>
    <tableColumn id="35" xr3:uid="{00000000-0010-0000-0100-000023000000}" name="C19 Импортозамещение ПО/технологий"/>
    <tableColumn id="36" xr3:uid="{00000000-0010-0000-0100-000024000000}" name="C20 ESG / ПБ / энергоэффективност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C28">
  <tableColumns count="3">
    <tableColumn id="1" xr3:uid="{00000000-0010-0000-0200-000001000000}" name="Ключ"/>
    <tableColumn id="2" xr3:uid="{00000000-0010-0000-0200-000002000000}" name="URL"/>
    <tableColumn id="3" xr3:uid="{00000000-0010-0000-0200-000003000000}" name="Зачем использова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G8" sqref="G8"/>
    </sheetView>
  </sheetViews>
  <sheetFormatPr defaultRowHeight="14"/>
  <cols>
    <col min="1" max="2" width="8" customWidth="1"/>
    <col min="3" max="3" width="36" customWidth="1"/>
    <col min="4" max="4" width="24" customWidth="1"/>
    <col min="5" max="5" width="15.75" customWidth="1"/>
    <col min="6" max="6" width="11.83203125" customWidth="1"/>
    <col min="7" max="7" width="80" customWidth="1"/>
    <col min="8" max="8" width="27.8320312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>
      <c r="A2" s="2">
        <v>1</v>
      </c>
      <c r="B2" s="2">
        <v>24</v>
      </c>
      <c r="C2" s="2" t="s">
        <v>8</v>
      </c>
      <c r="D2" s="2" t="s">
        <v>9</v>
      </c>
      <c r="E2" s="5">
        <v>46</v>
      </c>
      <c r="F2" s="2" t="s">
        <v>10</v>
      </c>
      <c r="G2" s="9" t="s">
        <v>11</v>
      </c>
      <c r="H2" s="2" t="s">
        <v>12</v>
      </c>
    </row>
    <row r="3" spans="1:8" ht="28">
      <c r="A3" s="2">
        <v>2</v>
      </c>
      <c r="B3" s="2">
        <v>30</v>
      </c>
      <c r="C3" s="2" t="s">
        <v>13</v>
      </c>
      <c r="D3" s="2" t="s">
        <v>14</v>
      </c>
      <c r="E3" s="5">
        <v>42</v>
      </c>
      <c r="F3" s="2" t="s">
        <v>10</v>
      </c>
      <c r="G3" s="9" t="s">
        <v>15</v>
      </c>
      <c r="H3" s="2" t="s">
        <v>12</v>
      </c>
    </row>
    <row r="4" spans="1:8" ht="42">
      <c r="A4" s="2">
        <v>3</v>
      </c>
      <c r="B4" s="2">
        <v>12</v>
      </c>
      <c r="C4" s="2" t="s">
        <v>16</v>
      </c>
      <c r="D4" s="2" t="s">
        <v>9</v>
      </c>
      <c r="E4" s="5">
        <v>41</v>
      </c>
      <c r="F4" s="2" t="s">
        <v>10</v>
      </c>
      <c r="G4" s="9" t="s">
        <v>17</v>
      </c>
      <c r="H4" s="2" t="s">
        <v>12</v>
      </c>
    </row>
    <row r="5" spans="1:8" ht="39" customHeight="1">
      <c r="A5" s="2">
        <v>4</v>
      </c>
      <c r="B5" s="2">
        <v>23</v>
      </c>
      <c r="C5" s="2" t="s">
        <v>18</v>
      </c>
      <c r="D5" s="2" t="s">
        <v>9</v>
      </c>
      <c r="E5" s="5">
        <v>41</v>
      </c>
      <c r="F5" s="2" t="s">
        <v>10</v>
      </c>
      <c r="G5" s="9" t="s">
        <v>19</v>
      </c>
      <c r="H5" s="2" t="s">
        <v>12</v>
      </c>
    </row>
    <row r="6" spans="1:8" ht="28">
      <c r="A6" s="2">
        <v>5</v>
      </c>
      <c r="B6" s="2">
        <v>1</v>
      </c>
      <c r="C6" s="2" t="s">
        <v>20</v>
      </c>
      <c r="D6" s="2" t="s">
        <v>21</v>
      </c>
      <c r="E6" s="5">
        <v>36</v>
      </c>
      <c r="F6" s="2" t="s">
        <v>22</v>
      </c>
      <c r="G6" s="9" t="s">
        <v>23</v>
      </c>
      <c r="H6" s="2" t="s">
        <v>24</v>
      </c>
    </row>
    <row r="7" spans="1:8" ht="42">
      <c r="A7" s="2">
        <v>6</v>
      </c>
      <c r="B7" s="2">
        <v>28</v>
      </c>
      <c r="C7" s="2" t="s">
        <v>25</v>
      </c>
      <c r="D7" s="2" t="s">
        <v>26</v>
      </c>
      <c r="E7" s="5">
        <v>32</v>
      </c>
      <c r="F7" s="2" t="s">
        <v>22</v>
      </c>
      <c r="G7" s="9" t="s">
        <v>27</v>
      </c>
      <c r="H7" s="2" t="s">
        <v>24</v>
      </c>
    </row>
    <row r="8" spans="1:8" ht="42">
      <c r="A8" s="2">
        <v>7</v>
      </c>
      <c r="B8" s="2">
        <v>5</v>
      </c>
      <c r="C8" s="2" t="s">
        <v>28</v>
      </c>
      <c r="D8" s="2" t="s">
        <v>29</v>
      </c>
      <c r="E8" s="5">
        <v>31</v>
      </c>
      <c r="F8" s="2" t="s">
        <v>22</v>
      </c>
      <c r="G8" s="9" t="s">
        <v>30</v>
      </c>
      <c r="H8" s="2" t="s">
        <v>24</v>
      </c>
    </row>
    <row r="9" spans="1:8" ht="28">
      <c r="A9" s="2">
        <v>8</v>
      </c>
      <c r="B9" s="2">
        <v>7</v>
      </c>
      <c r="C9" s="2" t="s">
        <v>31</v>
      </c>
      <c r="D9" s="2" t="s">
        <v>21</v>
      </c>
      <c r="E9" s="5">
        <v>30</v>
      </c>
      <c r="F9" s="2" t="s">
        <v>22</v>
      </c>
      <c r="G9" s="9" t="s">
        <v>32</v>
      </c>
      <c r="H9" s="2" t="s">
        <v>24</v>
      </c>
    </row>
    <row r="10" spans="1:8" ht="28">
      <c r="A10" s="2">
        <v>9</v>
      </c>
      <c r="B10" s="2">
        <v>8</v>
      </c>
      <c r="C10" s="2" t="s">
        <v>33</v>
      </c>
      <c r="D10" s="2" t="s">
        <v>29</v>
      </c>
      <c r="E10" s="5">
        <v>30</v>
      </c>
      <c r="F10" s="2" t="s">
        <v>22</v>
      </c>
      <c r="G10" s="9" t="s">
        <v>34</v>
      </c>
      <c r="H10" s="2" t="s">
        <v>24</v>
      </c>
    </row>
    <row r="11" spans="1:8" ht="28">
      <c r="A11" s="2">
        <v>10</v>
      </c>
      <c r="B11" s="2">
        <v>11</v>
      </c>
      <c r="C11" s="2" t="s">
        <v>35</v>
      </c>
      <c r="D11" s="2" t="s">
        <v>36</v>
      </c>
      <c r="E11" s="5">
        <v>29</v>
      </c>
      <c r="F11" s="2" t="s">
        <v>22</v>
      </c>
      <c r="G11" s="9" t="s">
        <v>37</v>
      </c>
      <c r="H11" s="2" t="s">
        <v>24</v>
      </c>
    </row>
    <row r="12" spans="1:8" ht="28">
      <c r="A12" s="2">
        <v>11</v>
      </c>
      <c r="B12" s="2">
        <v>13</v>
      </c>
      <c r="C12" s="2" t="s">
        <v>38</v>
      </c>
      <c r="D12" s="2" t="s">
        <v>39</v>
      </c>
      <c r="E12" s="5">
        <v>28</v>
      </c>
      <c r="F12" s="2" t="s">
        <v>22</v>
      </c>
      <c r="G12" s="9" t="s">
        <v>40</v>
      </c>
      <c r="H12" s="2" t="s">
        <v>24</v>
      </c>
    </row>
    <row r="13" spans="1:8" ht="28">
      <c r="A13" s="2">
        <v>12</v>
      </c>
      <c r="B13" s="2">
        <v>21</v>
      </c>
      <c r="C13" s="2" t="s">
        <v>41</v>
      </c>
      <c r="D13" s="2" t="s">
        <v>21</v>
      </c>
      <c r="E13" s="5">
        <v>27</v>
      </c>
      <c r="F13" s="2" t="s">
        <v>22</v>
      </c>
      <c r="G13" s="9" t="s">
        <v>42</v>
      </c>
      <c r="H13" s="2" t="s">
        <v>24</v>
      </c>
    </row>
    <row r="14" spans="1:8" ht="28">
      <c r="A14" s="2">
        <v>13</v>
      </c>
      <c r="B14" s="2">
        <v>20</v>
      </c>
      <c r="C14" s="2" t="s">
        <v>43</v>
      </c>
      <c r="D14" s="2" t="s">
        <v>21</v>
      </c>
      <c r="E14" s="5">
        <v>26</v>
      </c>
      <c r="F14" s="2" t="s">
        <v>22</v>
      </c>
      <c r="G14" s="9" t="s">
        <v>44</v>
      </c>
      <c r="H14" s="2" t="s">
        <v>24</v>
      </c>
    </row>
    <row r="15" spans="1:8" ht="42">
      <c r="A15" s="2">
        <v>14</v>
      </c>
      <c r="B15" s="2">
        <v>18</v>
      </c>
      <c r="C15" s="2" t="s">
        <v>45</v>
      </c>
      <c r="D15" s="2" t="s">
        <v>46</v>
      </c>
      <c r="E15" s="5">
        <v>25</v>
      </c>
      <c r="F15" s="2" t="s">
        <v>22</v>
      </c>
      <c r="G15" s="9" t="s">
        <v>47</v>
      </c>
      <c r="H15" s="2" t="s">
        <v>24</v>
      </c>
    </row>
    <row r="16" spans="1:8" ht="28">
      <c r="A16" s="2">
        <v>15</v>
      </c>
      <c r="B16" s="2">
        <v>31</v>
      </c>
      <c r="C16" s="2" t="s">
        <v>48</v>
      </c>
      <c r="D16" s="2" t="s">
        <v>39</v>
      </c>
      <c r="E16" s="5">
        <v>24</v>
      </c>
      <c r="F16" s="2" t="s">
        <v>49</v>
      </c>
      <c r="G16" s="9" t="s">
        <v>50</v>
      </c>
      <c r="H16" s="2" t="s">
        <v>51</v>
      </c>
    </row>
    <row r="17" spans="1:8" ht="28">
      <c r="A17" s="2">
        <v>16</v>
      </c>
      <c r="B17" s="2">
        <v>3</v>
      </c>
      <c r="C17" s="2" t="s">
        <v>52</v>
      </c>
      <c r="D17" s="2" t="s">
        <v>21</v>
      </c>
      <c r="E17" s="5">
        <v>23</v>
      </c>
      <c r="F17" s="2" t="s">
        <v>49</v>
      </c>
      <c r="G17" s="9" t="s">
        <v>53</v>
      </c>
      <c r="H17" s="2" t="s">
        <v>51</v>
      </c>
    </row>
    <row r="18" spans="1:8" ht="28">
      <c r="A18" s="2">
        <v>17</v>
      </c>
      <c r="B18" s="2">
        <v>4</v>
      </c>
      <c r="C18" s="2" t="s">
        <v>54</v>
      </c>
      <c r="D18" s="2" t="s">
        <v>21</v>
      </c>
      <c r="E18" s="5">
        <v>22</v>
      </c>
      <c r="F18" s="2" t="s">
        <v>49</v>
      </c>
      <c r="G18" s="9" t="s">
        <v>55</v>
      </c>
      <c r="H18" s="2" t="s">
        <v>51</v>
      </c>
    </row>
    <row r="19" spans="1:8" ht="28">
      <c r="A19" s="2">
        <v>18</v>
      </c>
      <c r="B19" s="2">
        <v>19</v>
      </c>
      <c r="C19" s="2" t="s">
        <v>56</v>
      </c>
      <c r="D19" s="2" t="s">
        <v>21</v>
      </c>
      <c r="E19" s="5">
        <v>22</v>
      </c>
      <c r="F19" s="2" t="s">
        <v>49</v>
      </c>
      <c r="G19" s="9" t="s">
        <v>57</v>
      </c>
      <c r="H19" s="2" t="s">
        <v>51</v>
      </c>
    </row>
    <row r="20" spans="1:8" ht="28">
      <c r="A20" s="2">
        <v>19</v>
      </c>
      <c r="B20" s="2">
        <v>17</v>
      </c>
      <c r="C20" s="2" t="s">
        <v>58</v>
      </c>
      <c r="D20" s="2" t="s">
        <v>21</v>
      </c>
      <c r="E20" s="5">
        <v>21</v>
      </c>
      <c r="F20" s="2" t="s">
        <v>49</v>
      </c>
      <c r="G20" s="9" t="s">
        <v>59</v>
      </c>
      <c r="H20" s="2" t="s">
        <v>51</v>
      </c>
    </row>
    <row r="21" spans="1:8" ht="28">
      <c r="A21" s="2">
        <v>20</v>
      </c>
      <c r="B21" s="2">
        <v>10</v>
      </c>
      <c r="C21" s="2" t="s">
        <v>60</v>
      </c>
      <c r="D21" s="2" t="s">
        <v>61</v>
      </c>
      <c r="E21" s="5">
        <v>20</v>
      </c>
      <c r="F21" s="2" t="s">
        <v>49</v>
      </c>
      <c r="G21" s="9" t="s">
        <v>62</v>
      </c>
      <c r="H21" s="2" t="s">
        <v>51</v>
      </c>
    </row>
    <row r="22" spans="1:8" ht="28">
      <c r="A22" s="2">
        <v>21</v>
      </c>
      <c r="B22" s="2">
        <v>16</v>
      </c>
      <c r="C22" s="2" t="s">
        <v>63</v>
      </c>
      <c r="D22" s="2" t="s">
        <v>64</v>
      </c>
      <c r="E22" s="5">
        <v>18</v>
      </c>
      <c r="F22" s="2" t="s">
        <v>49</v>
      </c>
      <c r="G22" s="9" t="s">
        <v>65</v>
      </c>
      <c r="H22" s="2" t="s">
        <v>51</v>
      </c>
    </row>
    <row r="23" spans="1:8" ht="28">
      <c r="A23" s="2">
        <v>22</v>
      </c>
      <c r="B23" s="2">
        <v>26</v>
      </c>
      <c r="C23" s="2" t="s">
        <v>66</v>
      </c>
      <c r="D23" s="2" t="s">
        <v>67</v>
      </c>
      <c r="E23" s="5">
        <v>15</v>
      </c>
      <c r="F23" s="2" t="s">
        <v>49</v>
      </c>
      <c r="G23" s="9" t="s">
        <v>68</v>
      </c>
      <c r="H23" s="2" t="s">
        <v>51</v>
      </c>
    </row>
    <row r="24" spans="1:8" ht="28">
      <c r="A24" s="2">
        <v>23</v>
      </c>
      <c r="B24" s="2">
        <v>2</v>
      </c>
      <c r="C24" s="2" t="s">
        <v>69</v>
      </c>
      <c r="D24" s="2" t="s">
        <v>61</v>
      </c>
      <c r="E24" s="5">
        <v>14</v>
      </c>
      <c r="F24" s="2" t="s">
        <v>70</v>
      </c>
      <c r="G24" s="9" t="s">
        <v>71</v>
      </c>
      <c r="H24" s="2" t="s">
        <v>72</v>
      </c>
    </row>
    <row r="25" spans="1:8" ht="28">
      <c r="A25" s="2">
        <v>24</v>
      </c>
      <c r="B25" s="2">
        <v>6</v>
      </c>
      <c r="C25" s="2" t="s">
        <v>73</v>
      </c>
      <c r="D25" s="2" t="s">
        <v>21</v>
      </c>
      <c r="E25" s="5">
        <v>14</v>
      </c>
      <c r="F25" s="2" t="s">
        <v>70</v>
      </c>
      <c r="G25" s="9" t="s">
        <v>74</v>
      </c>
      <c r="H25" s="2" t="s">
        <v>72</v>
      </c>
    </row>
    <row r="26" spans="1:8" ht="28">
      <c r="A26" s="2">
        <v>25</v>
      </c>
      <c r="B26" s="2">
        <v>9</v>
      </c>
      <c r="C26" s="2" t="s">
        <v>75</v>
      </c>
      <c r="D26" s="2" t="s">
        <v>21</v>
      </c>
      <c r="E26" s="5">
        <v>13</v>
      </c>
      <c r="F26" s="2" t="s">
        <v>70</v>
      </c>
      <c r="G26" s="9" t="s">
        <v>76</v>
      </c>
      <c r="H26" s="2" t="s">
        <v>72</v>
      </c>
    </row>
    <row r="27" spans="1:8" ht="28">
      <c r="A27" s="2">
        <v>26</v>
      </c>
      <c r="B27" s="2">
        <v>15</v>
      </c>
      <c r="C27" s="2" t="s">
        <v>77</v>
      </c>
      <c r="D27" s="2" t="s">
        <v>21</v>
      </c>
      <c r="E27" s="5">
        <v>13</v>
      </c>
      <c r="F27" s="2" t="s">
        <v>70</v>
      </c>
      <c r="G27" s="9" t="s">
        <v>78</v>
      </c>
      <c r="H27" s="2" t="s">
        <v>72</v>
      </c>
    </row>
    <row r="28" spans="1:8" ht="28">
      <c r="A28" s="2">
        <v>27</v>
      </c>
      <c r="B28" s="2">
        <v>29</v>
      </c>
      <c r="C28" s="2" t="s">
        <v>79</v>
      </c>
      <c r="D28" s="2" t="s">
        <v>80</v>
      </c>
      <c r="E28" s="5">
        <v>13</v>
      </c>
      <c r="F28" s="2" t="s">
        <v>70</v>
      </c>
      <c r="G28" s="9" t="s">
        <v>81</v>
      </c>
      <c r="H28" s="2" t="s">
        <v>72</v>
      </c>
    </row>
    <row r="29" spans="1:8" ht="28">
      <c r="A29" s="2">
        <v>28</v>
      </c>
      <c r="B29" s="2">
        <v>22</v>
      </c>
      <c r="C29" s="2" t="s">
        <v>82</v>
      </c>
      <c r="D29" s="2" t="s">
        <v>83</v>
      </c>
      <c r="E29" s="5">
        <v>12</v>
      </c>
      <c r="F29" s="2" t="s">
        <v>70</v>
      </c>
      <c r="G29" s="9" t="s">
        <v>84</v>
      </c>
      <c r="H29" s="2" t="s">
        <v>72</v>
      </c>
    </row>
    <row r="30" spans="1:8" ht="28">
      <c r="A30" s="2">
        <v>29</v>
      </c>
      <c r="B30" s="2">
        <v>27</v>
      </c>
      <c r="C30" s="2" t="s">
        <v>85</v>
      </c>
      <c r="D30" s="2" t="s">
        <v>86</v>
      </c>
      <c r="E30" s="5">
        <v>11</v>
      </c>
      <c r="F30" s="2" t="s">
        <v>70</v>
      </c>
      <c r="G30" s="9" t="s">
        <v>87</v>
      </c>
      <c r="H30" s="2" t="s">
        <v>72</v>
      </c>
    </row>
    <row r="31" spans="1:8" ht="28">
      <c r="A31" s="2">
        <v>30</v>
      </c>
      <c r="B31" s="2">
        <v>14</v>
      </c>
      <c r="C31" s="2" t="s">
        <v>88</v>
      </c>
      <c r="D31" s="2" t="s">
        <v>89</v>
      </c>
      <c r="E31" s="5">
        <v>10</v>
      </c>
      <c r="F31" s="2" t="s">
        <v>70</v>
      </c>
      <c r="G31" s="9" t="s">
        <v>90</v>
      </c>
      <c r="H31" s="2" t="s">
        <v>72</v>
      </c>
    </row>
    <row r="32" spans="1:8" ht="28">
      <c r="A32" s="2">
        <v>31</v>
      </c>
      <c r="B32" s="2">
        <v>32</v>
      </c>
      <c r="C32" s="2" t="s">
        <v>91</v>
      </c>
      <c r="D32" s="2" t="s">
        <v>21</v>
      </c>
      <c r="E32" s="5">
        <v>10</v>
      </c>
      <c r="F32" s="2" t="s">
        <v>70</v>
      </c>
      <c r="G32" s="9" t="s">
        <v>92</v>
      </c>
      <c r="H32" s="2" t="s">
        <v>72</v>
      </c>
    </row>
    <row r="33" spans="1:8" ht="42">
      <c r="A33" s="2">
        <v>32</v>
      </c>
      <c r="B33" s="2">
        <v>33</v>
      </c>
      <c r="C33" s="2" t="s">
        <v>93</v>
      </c>
      <c r="D33" s="2" t="s">
        <v>94</v>
      </c>
      <c r="E33" s="5">
        <v>10</v>
      </c>
      <c r="F33" s="2" t="s">
        <v>70</v>
      </c>
      <c r="G33" s="9" t="s">
        <v>95</v>
      </c>
      <c r="H33" s="2" t="s">
        <v>72</v>
      </c>
    </row>
    <row r="34" spans="1:8" ht="36.5" customHeight="1">
      <c r="A34" s="2">
        <v>33</v>
      </c>
      <c r="B34" s="2">
        <v>25</v>
      </c>
      <c r="C34" s="2" t="s">
        <v>96</v>
      </c>
      <c r="D34" s="2" t="s">
        <v>97</v>
      </c>
      <c r="E34" s="5">
        <v>7</v>
      </c>
      <c r="F34" s="2" t="s">
        <v>70</v>
      </c>
      <c r="G34" s="9" t="s">
        <v>98</v>
      </c>
      <c r="H34" s="2" t="s">
        <v>72</v>
      </c>
    </row>
    <row r="37" spans="1:8">
      <c r="A37" s="6" t="s">
        <v>99</v>
      </c>
      <c r="B37" s="7"/>
      <c r="C37" s="7"/>
      <c r="D37" s="7"/>
      <c r="E37" s="7"/>
      <c r="F37" s="7"/>
      <c r="G37" s="7"/>
      <c r="H37" s="7"/>
    </row>
    <row r="38" spans="1:8">
      <c r="A38" s="8" t="s">
        <v>100</v>
      </c>
      <c r="B38" s="7"/>
      <c r="C38" s="7"/>
      <c r="D38" s="7"/>
      <c r="E38" s="7"/>
      <c r="F38" s="7"/>
      <c r="G38" s="7"/>
      <c r="H38" s="7"/>
    </row>
    <row r="39" spans="1:8">
      <c r="A39" s="8" t="s">
        <v>101</v>
      </c>
      <c r="B39" s="7"/>
      <c r="C39" s="7"/>
      <c r="D39" s="7"/>
      <c r="E39" s="7"/>
      <c r="F39" s="7"/>
      <c r="G39" s="7"/>
      <c r="H39" s="7"/>
    </row>
    <row r="40" spans="1:8">
      <c r="A40" s="8" t="s">
        <v>102</v>
      </c>
      <c r="B40" s="7"/>
      <c r="C40" s="7"/>
      <c r="D40" s="7"/>
      <c r="E40" s="7"/>
      <c r="F40" s="7"/>
      <c r="G40" s="7"/>
      <c r="H40" s="7"/>
    </row>
  </sheetData>
  <mergeCells count="4">
    <mergeCell ref="A37:H37"/>
    <mergeCell ref="A38:H38"/>
    <mergeCell ref="A39:H39"/>
    <mergeCell ref="A40:H40"/>
  </mergeCells>
  <conditionalFormatting sqref="E2:E34">
    <cfRule type="dataBar" priority="1">
      <dataBar>
        <cfvo type="min"/>
        <cfvo type="max"/>
        <color rgb="FF0F766E"/>
      </dataBar>
    </cfRule>
  </conditionalFormatting>
  <conditionalFormatting sqref="E2:E34"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{8213237C-262D-8CED-9257-E0A72B4BD1FC}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13237C-262D-8CED-9257-E0A72B4BD1FC}">
            <x14:dataBar>
              <x14:cfvo type="min"/>
              <x14:cfvo type="max"/>
              <x14:negativeFillColor auto="1"/>
              <x14:axisColor auto="1"/>
            </x14:dataBar>
          </x14:cfRule>
          <xm:sqref>E2:E34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4"/>
  <sheetViews>
    <sheetView topLeftCell="I1" zoomScale="40" zoomScaleNormal="40" workbookViewId="0">
      <selection activeCell="T6" sqref="T6"/>
    </sheetView>
  </sheetViews>
  <sheetFormatPr defaultRowHeight="14"/>
  <cols>
    <col min="1" max="1" width="5" customWidth="1"/>
    <col min="2" max="2" width="28" customWidth="1"/>
    <col min="3" max="3" width="34" customWidth="1"/>
    <col min="4" max="4" width="22" customWidth="1"/>
    <col min="5" max="5" width="38" customWidth="1"/>
    <col min="6" max="6" width="14" customWidth="1"/>
    <col min="7" max="7" width="18" customWidth="1"/>
    <col min="8" max="8" width="24" customWidth="1"/>
    <col min="9" max="9" width="16" customWidth="1"/>
    <col min="10" max="10" width="70" customWidth="1"/>
    <col min="11" max="11" width="55" customWidth="1"/>
    <col min="12" max="16" width="12" customWidth="1"/>
    <col min="17" max="36" width="11" customWidth="1"/>
  </cols>
  <sheetData>
    <row r="1" spans="1:36" ht="98">
      <c r="A1" s="1" t="s">
        <v>1</v>
      </c>
      <c r="B1" s="1" t="s">
        <v>103</v>
      </c>
      <c r="C1" s="1" t="s">
        <v>104</v>
      </c>
      <c r="D1" s="1" t="s">
        <v>3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</row>
    <row r="2" spans="1:36" ht="70">
      <c r="A2" s="2">
        <v>1</v>
      </c>
      <c r="B2" s="2" t="s">
        <v>136</v>
      </c>
      <c r="C2" s="2" t="s">
        <v>20</v>
      </c>
      <c r="D2" s="2" t="s">
        <v>21</v>
      </c>
      <c r="E2" s="2" t="s">
        <v>137</v>
      </c>
      <c r="F2" s="2" t="s">
        <v>138</v>
      </c>
      <c r="G2" s="2" t="s">
        <v>139</v>
      </c>
      <c r="H2" s="2" t="s">
        <v>140</v>
      </c>
      <c r="I2" s="2" t="s">
        <v>141</v>
      </c>
      <c r="J2" s="2" t="s">
        <v>23</v>
      </c>
      <c r="K2" s="2" t="s">
        <v>142</v>
      </c>
      <c r="L2" s="4">
        <f t="shared" ref="L2:L34" si="0">SUM(AC2:AG2)</f>
        <v>11</v>
      </c>
      <c r="M2" s="4">
        <f t="shared" ref="M2:M34" si="1">SUM(Q2:Y2)+SUM(AH2:AI2)</f>
        <v>19</v>
      </c>
      <c r="N2" s="4">
        <f t="shared" ref="N2:N34" si="2">SUM(Z2:AB2)+AJ2</f>
        <v>6</v>
      </c>
      <c r="O2" s="4">
        <f t="shared" ref="O2:O34" si="3">SUM(Q2:AJ2)</f>
        <v>36</v>
      </c>
      <c r="P2" s="3" t="str">
        <f t="shared" ref="P2:P34" si="4">IF(O2&gt;=38,"Tier 1",IF(O2&gt;=25,"Tier 2",IF(O2&gt;=15,"Tier 3","Monitor")))</f>
        <v>Tier 2</v>
      </c>
      <c r="Q2" s="3">
        <v>3</v>
      </c>
      <c r="R2" s="3">
        <v>2</v>
      </c>
      <c r="S2" s="3">
        <v>0</v>
      </c>
      <c r="T2" s="3">
        <v>1</v>
      </c>
      <c r="U2" s="3">
        <v>3</v>
      </c>
      <c r="V2" s="3">
        <v>2</v>
      </c>
      <c r="W2" s="3">
        <v>3</v>
      </c>
      <c r="X2" s="3">
        <v>1</v>
      </c>
      <c r="Y2" s="3">
        <v>1</v>
      </c>
      <c r="Z2" s="3">
        <v>0</v>
      </c>
      <c r="AA2" s="3">
        <v>1</v>
      </c>
      <c r="AB2" s="3">
        <v>3</v>
      </c>
      <c r="AC2" s="3">
        <v>3</v>
      </c>
      <c r="AD2" s="3">
        <v>3</v>
      </c>
      <c r="AE2" s="3">
        <v>2</v>
      </c>
      <c r="AF2" s="3">
        <v>1</v>
      </c>
      <c r="AG2" s="3">
        <v>2</v>
      </c>
      <c r="AH2" s="3">
        <v>1</v>
      </c>
      <c r="AI2" s="3">
        <v>2</v>
      </c>
      <c r="AJ2" s="3">
        <v>2</v>
      </c>
    </row>
    <row r="3" spans="1:36" ht="28">
      <c r="A3" s="2">
        <v>2</v>
      </c>
      <c r="B3" s="2" t="s">
        <v>143</v>
      </c>
      <c r="C3" s="2" t="s">
        <v>69</v>
      </c>
      <c r="D3" s="2" t="s">
        <v>61</v>
      </c>
      <c r="E3" s="2" t="s">
        <v>144</v>
      </c>
      <c r="F3" s="2" t="s">
        <v>145</v>
      </c>
      <c r="G3" s="2" t="s">
        <v>146</v>
      </c>
      <c r="H3" s="2" t="s">
        <v>147</v>
      </c>
      <c r="I3" s="2" t="s">
        <v>148</v>
      </c>
      <c r="J3" s="2" t="s">
        <v>71</v>
      </c>
      <c r="K3" s="2"/>
      <c r="L3" s="4">
        <f t="shared" si="0"/>
        <v>9</v>
      </c>
      <c r="M3" s="4">
        <f t="shared" si="1"/>
        <v>3</v>
      </c>
      <c r="N3" s="4">
        <f t="shared" si="2"/>
        <v>2</v>
      </c>
      <c r="O3" s="4">
        <f t="shared" si="3"/>
        <v>14</v>
      </c>
      <c r="P3" s="3" t="str">
        <f t="shared" si="4"/>
        <v>Monitor</v>
      </c>
      <c r="Q3" s="3">
        <v>1</v>
      </c>
      <c r="R3" s="3">
        <v>0</v>
      </c>
      <c r="S3" s="3">
        <v>0</v>
      </c>
      <c r="T3" s="3">
        <v>0</v>
      </c>
      <c r="U3" s="3">
        <v>1</v>
      </c>
      <c r="V3" s="3">
        <v>1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2</v>
      </c>
      <c r="AD3" s="3">
        <v>3</v>
      </c>
      <c r="AE3" s="3">
        <v>2</v>
      </c>
      <c r="AF3" s="3">
        <v>1</v>
      </c>
      <c r="AG3" s="3">
        <v>1</v>
      </c>
      <c r="AH3" s="3">
        <v>0</v>
      </c>
      <c r="AI3" s="3">
        <v>0</v>
      </c>
      <c r="AJ3" s="3">
        <v>1</v>
      </c>
    </row>
    <row r="4" spans="1:36" ht="70">
      <c r="A4" s="2">
        <v>3</v>
      </c>
      <c r="B4" s="2" t="s">
        <v>149</v>
      </c>
      <c r="C4" s="2" t="s">
        <v>52</v>
      </c>
      <c r="D4" s="2" t="s">
        <v>21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">
        <v>53</v>
      </c>
      <c r="K4" s="2" t="s">
        <v>155</v>
      </c>
      <c r="L4" s="4">
        <f t="shared" si="0"/>
        <v>10</v>
      </c>
      <c r="M4" s="4">
        <f t="shared" si="1"/>
        <v>8</v>
      </c>
      <c r="N4" s="4">
        <f t="shared" si="2"/>
        <v>5</v>
      </c>
      <c r="O4" s="4">
        <f t="shared" si="3"/>
        <v>23</v>
      </c>
      <c r="P4" s="3" t="str">
        <f t="shared" si="4"/>
        <v>Tier 3</v>
      </c>
      <c r="Q4" s="3">
        <v>1</v>
      </c>
      <c r="R4" s="3">
        <v>0</v>
      </c>
      <c r="S4" s="3">
        <v>0</v>
      </c>
      <c r="T4" s="3">
        <v>1</v>
      </c>
      <c r="U4" s="3">
        <v>1</v>
      </c>
      <c r="V4" s="3">
        <v>1</v>
      </c>
      <c r="W4" s="3">
        <v>0</v>
      </c>
      <c r="X4" s="3">
        <v>1</v>
      </c>
      <c r="Y4" s="3">
        <v>0</v>
      </c>
      <c r="Z4" s="3">
        <v>0</v>
      </c>
      <c r="AA4" s="3">
        <v>1</v>
      </c>
      <c r="AB4" s="3">
        <v>3</v>
      </c>
      <c r="AC4" s="3">
        <v>3</v>
      </c>
      <c r="AD4" s="3">
        <v>3</v>
      </c>
      <c r="AE4" s="3">
        <v>2</v>
      </c>
      <c r="AF4" s="3">
        <v>0</v>
      </c>
      <c r="AG4" s="3">
        <v>2</v>
      </c>
      <c r="AH4" s="3">
        <v>1</v>
      </c>
      <c r="AI4" s="3">
        <v>2</v>
      </c>
      <c r="AJ4" s="3">
        <v>1</v>
      </c>
    </row>
    <row r="5" spans="1:36" ht="42">
      <c r="A5" s="2">
        <v>4</v>
      </c>
      <c r="B5" s="2" t="s">
        <v>156</v>
      </c>
      <c r="C5" s="2" t="s">
        <v>54</v>
      </c>
      <c r="D5" s="2" t="s">
        <v>21</v>
      </c>
      <c r="E5" s="2" t="s">
        <v>157</v>
      </c>
      <c r="F5" s="2" t="s">
        <v>158</v>
      </c>
      <c r="G5" s="2" t="s">
        <v>159</v>
      </c>
      <c r="H5" s="2" t="s">
        <v>160</v>
      </c>
      <c r="I5" s="2" t="s">
        <v>161</v>
      </c>
      <c r="J5" s="2" t="s">
        <v>55</v>
      </c>
      <c r="K5" s="2" t="s">
        <v>162</v>
      </c>
      <c r="L5" s="4">
        <f t="shared" si="0"/>
        <v>10</v>
      </c>
      <c r="M5" s="4">
        <f t="shared" si="1"/>
        <v>7</v>
      </c>
      <c r="N5" s="4">
        <f t="shared" si="2"/>
        <v>5</v>
      </c>
      <c r="O5" s="4">
        <f t="shared" si="3"/>
        <v>22</v>
      </c>
      <c r="P5" s="3" t="str">
        <f t="shared" si="4"/>
        <v>Tier 3</v>
      </c>
      <c r="Q5" s="3">
        <v>1</v>
      </c>
      <c r="R5" s="3">
        <v>0</v>
      </c>
      <c r="S5" s="3">
        <v>0</v>
      </c>
      <c r="T5" s="3">
        <v>1</v>
      </c>
      <c r="U5" s="3">
        <v>1</v>
      </c>
      <c r="V5" s="3">
        <v>2</v>
      </c>
      <c r="W5" s="3">
        <v>0</v>
      </c>
      <c r="X5" s="3">
        <v>1</v>
      </c>
      <c r="Y5" s="3">
        <v>0</v>
      </c>
      <c r="Z5" s="3">
        <v>0</v>
      </c>
      <c r="AA5" s="3">
        <v>1</v>
      </c>
      <c r="AB5" s="3">
        <v>2</v>
      </c>
      <c r="AC5" s="3">
        <v>3</v>
      </c>
      <c r="AD5" s="3">
        <v>3</v>
      </c>
      <c r="AE5" s="3">
        <v>2</v>
      </c>
      <c r="AF5" s="3">
        <v>0</v>
      </c>
      <c r="AG5" s="3">
        <v>2</v>
      </c>
      <c r="AH5" s="3">
        <v>1</v>
      </c>
      <c r="AI5" s="3">
        <v>0</v>
      </c>
      <c r="AJ5" s="3">
        <v>2</v>
      </c>
    </row>
    <row r="6" spans="1:36" ht="70">
      <c r="A6" s="2">
        <v>5</v>
      </c>
      <c r="B6" s="2" t="s">
        <v>28</v>
      </c>
      <c r="C6" s="2" t="s">
        <v>28</v>
      </c>
      <c r="D6" s="2" t="s">
        <v>29</v>
      </c>
      <c r="E6" s="2" t="s">
        <v>163</v>
      </c>
      <c r="F6" s="2" t="s">
        <v>164</v>
      </c>
      <c r="G6" s="2" t="s">
        <v>165</v>
      </c>
      <c r="H6" s="2" t="s">
        <v>166</v>
      </c>
      <c r="I6" s="2" t="s">
        <v>154</v>
      </c>
      <c r="J6" s="2" t="s">
        <v>30</v>
      </c>
      <c r="K6" s="2" t="s">
        <v>167</v>
      </c>
      <c r="L6" s="4">
        <f t="shared" si="0"/>
        <v>11</v>
      </c>
      <c r="M6" s="4">
        <f t="shared" si="1"/>
        <v>14</v>
      </c>
      <c r="N6" s="4">
        <f t="shared" si="2"/>
        <v>6</v>
      </c>
      <c r="O6" s="4">
        <f t="shared" si="3"/>
        <v>31</v>
      </c>
      <c r="P6" s="3" t="str">
        <f t="shared" si="4"/>
        <v>Tier 2</v>
      </c>
      <c r="Q6" s="3">
        <v>2</v>
      </c>
      <c r="R6" s="3">
        <v>1</v>
      </c>
      <c r="S6" s="3">
        <v>0</v>
      </c>
      <c r="T6" s="3">
        <v>1</v>
      </c>
      <c r="U6" s="3">
        <v>2</v>
      </c>
      <c r="V6" s="3">
        <v>3</v>
      </c>
      <c r="W6" s="3">
        <v>1</v>
      </c>
      <c r="X6" s="3">
        <v>1</v>
      </c>
      <c r="Y6" s="3">
        <v>1</v>
      </c>
      <c r="Z6" s="3">
        <v>0</v>
      </c>
      <c r="AA6" s="3">
        <v>1</v>
      </c>
      <c r="AB6" s="3">
        <v>2</v>
      </c>
      <c r="AC6" s="3">
        <v>3</v>
      </c>
      <c r="AD6" s="3">
        <v>3</v>
      </c>
      <c r="AE6" s="3">
        <v>2</v>
      </c>
      <c r="AF6" s="3">
        <v>1</v>
      </c>
      <c r="AG6" s="3">
        <v>2</v>
      </c>
      <c r="AH6" s="3">
        <v>1</v>
      </c>
      <c r="AI6" s="3">
        <v>1</v>
      </c>
      <c r="AJ6" s="3">
        <v>3</v>
      </c>
    </row>
    <row r="7" spans="1:36" ht="42">
      <c r="A7" s="2">
        <v>6</v>
      </c>
      <c r="B7" s="2" t="s">
        <v>168</v>
      </c>
      <c r="C7" s="2" t="s">
        <v>73</v>
      </c>
      <c r="D7" s="2" t="s">
        <v>21</v>
      </c>
      <c r="E7" s="2" t="s">
        <v>169</v>
      </c>
      <c r="F7" s="2" t="s">
        <v>170</v>
      </c>
      <c r="G7" s="2" t="s">
        <v>171</v>
      </c>
      <c r="H7" s="2" t="s">
        <v>172</v>
      </c>
      <c r="I7" s="2" t="s">
        <v>173</v>
      </c>
      <c r="J7" s="2" t="s">
        <v>74</v>
      </c>
      <c r="K7" s="2" t="s">
        <v>162</v>
      </c>
      <c r="L7" s="4">
        <f t="shared" si="0"/>
        <v>6</v>
      </c>
      <c r="M7" s="4">
        <f t="shared" si="1"/>
        <v>5</v>
      </c>
      <c r="N7" s="4">
        <f t="shared" si="2"/>
        <v>3</v>
      </c>
      <c r="O7" s="4">
        <f t="shared" si="3"/>
        <v>14</v>
      </c>
      <c r="P7" s="3" t="str">
        <f t="shared" si="4"/>
        <v>Monitor</v>
      </c>
      <c r="Q7" s="3">
        <v>1</v>
      </c>
      <c r="R7" s="3">
        <v>0</v>
      </c>
      <c r="S7" s="3">
        <v>0</v>
      </c>
      <c r="T7" s="3">
        <v>1</v>
      </c>
      <c r="U7" s="3">
        <v>1</v>
      </c>
      <c r="V7" s="3">
        <v>1</v>
      </c>
      <c r="W7" s="3">
        <v>0</v>
      </c>
      <c r="X7" s="3">
        <v>1</v>
      </c>
      <c r="Y7" s="3">
        <v>0</v>
      </c>
      <c r="Z7" s="3">
        <v>0</v>
      </c>
      <c r="AA7" s="3">
        <v>1</v>
      </c>
      <c r="AB7" s="3">
        <v>1</v>
      </c>
      <c r="AC7" s="3">
        <v>2</v>
      </c>
      <c r="AD7" s="3">
        <v>2</v>
      </c>
      <c r="AE7" s="3">
        <v>1</v>
      </c>
      <c r="AF7" s="3">
        <v>0</v>
      </c>
      <c r="AG7" s="3">
        <v>1</v>
      </c>
      <c r="AH7" s="3">
        <v>0</v>
      </c>
      <c r="AI7" s="3">
        <v>0</v>
      </c>
      <c r="AJ7" s="3">
        <v>1</v>
      </c>
    </row>
    <row r="8" spans="1:36" ht="56">
      <c r="A8" s="2">
        <v>7</v>
      </c>
      <c r="B8" s="2" t="s">
        <v>174</v>
      </c>
      <c r="C8" s="2" t="s">
        <v>31</v>
      </c>
      <c r="D8" s="2" t="s">
        <v>21</v>
      </c>
      <c r="E8" s="2" t="s">
        <v>175</v>
      </c>
      <c r="F8" s="2" t="s">
        <v>176</v>
      </c>
      <c r="G8" s="2" t="s">
        <v>177</v>
      </c>
      <c r="H8" s="2" t="s">
        <v>178</v>
      </c>
      <c r="I8" s="2" t="s">
        <v>141</v>
      </c>
      <c r="J8" s="2" t="s">
        <v>32</v>
      </c>
      <c r="K8" s="2" t="s">
        <v>179</v>
      </c>
      <c r="L8" s="4">
        <f t="shared" si="0"/>
        <v>11</v>
      </c>
      <c r="M8" s="4">
        <f t="shared" si="1"/>
        <v>14</v>
      </c>
      <c r="N8" s="4">
        <f t="shared" si="2"/>
        <v>5</v>
      </c>
      <c r="O8" s="4">
        <f t="shared" si="3"/>
        <v>30</v>
      </c>
      <c r="P8" s="3" t="str">
        <f t="shared" si="4"/>
        <v>Tier 2</v>
      </c>
      <c r="Q8" s="3">
        <v>3</v>
      </c>
      <c r="R8" s="3">
        <v>0</v>
      </c>
      <c r="S8" s="3">
        <v>0</v>
      </c>
      <c r="T8" s="3">
        <v>1</v>
      </c>
      <c r="U8" s="3">
        <v>2</v>
      </c>
      <c r="V8" s="3">
        <v>2</v>
      </c>
      <c r="W8" s="3">
        <v>3</v>
      </c>
      <c r="X8" s="3">
        <v>1</v>
      </c>
      <c r="Y8" s="3">
        <v>0</v>
      </c>
      <c r="Z8" s="3">
        <v>0</v>
      </c>
      <c r="AA8" s="3">
        <v>2</v>
      </c>
      <c r="AB8" s="3">
        <v>2</v>
      </c>
      <c r="AC8" s="3">
        <v>3</v>
      </c>
      <c r="AD8" s="3">
        <v>3</v>
      </c>
      <c r="AE8" s="3">
        <v>2</v>
      </c>
      <c r="AF8" s="3">
        <v>0</v>
      </c>
      <c r="AG8" s="3">
        <v>3</v>
      </c>
      <c r="AH8" s="3">
        <v>1</v>
      </c>
      <c r="AI8" s="3">
        <v>1</v>
      </c>
      <c r="AJ8" s="3">
        <v>1</v>
      </c>
    </row>
    <row r="9" spans="1:36" ht="56">
      <c r="A9" s="2">
        <v>8</v>
      </c>
      <c r="B9" s="2" t="s">
        <v>33</v>
      </c>
      <c r="C9" s="2" t="s">
        <v>33</v>
      </c>
      <c r="D9" s="2" t="s">
        <v>29</v>
      </c>
      <c r="E9" s="2" t="s">
        <v>180</v>
      </c>
      <c r="F9" s="2" t="s">
        <v>181</v>
      </c>
      <c r="G9" s="2" t="s">
        <v>182</v>
      </c>
      <c r="H9" s="2" t="s">
        <v>183</v>
      </c>
      <c r="I9" s="2" t="s">
        <v>184</v>
      </c>
      <c r="J9" s="2" t="s">
        <v>34</v>
      </c>
      <c r="K9" s="2" t="s">
        <v>185</v>
      </c>
      <c r="L9" s="4">
        <f t="shared" si="0"/>
        <v>13</v>
      </c>
      <c r="M9" s="4">
        <f t="shared" si="1"/>
        <v>12</v>
      </c>
      <c r="N9" s="4">
        <f t="shared" si="2"/>
        <v>5</v>
      </c>
      <c r="O9" s="4">
        <f t="shared" si="3"/>
        <v>30</v>
      </c>
      <c r="P9" s="3" t="str">
        <f t="shared" si="4"/>
        <v>Tier 2</v>
      </c>
      <c r="Q9" s="3">
        <v>2</v>
      </c>
      <c r="R9" s="3">
        <v>1</v>
      </c>
      <c r="S9" s="3">
        <v>0</v>
      </c>
      <c r="T9" s="3">
        <v>1</v>
      </c>
      <c r="U9" s="3">
        <v>1</v>
      </c>
      <c r="V9" s="3">
        <v>3</v>
      </c>
      <c r="W9" s="3">
        <v>0</v>
      </c>
      <c r="X9" s="3">
        <v>1</v>
      </c>
      <c r="Y9" s="3">
        <v>0</v>
      </c>
      <c r="Z9" s="3">
        <v>0</v>
      </c>
      <c r="AA9" s="3">
        <v>1</v>
      </c>
      <c r="AB9" s="3">
        <v>2</v>
      </c>
      <c r="AC9" s="3">
        <v>3</v>
      </c>
      <c r="AD9" s="3">
        <v>3</v>
      </c>
      <c r="AE9" s="3">
        <v>2</v>
      </c>
      <c r="AF9" s="3">
        <v>2</v>
      </c>
      <c r="AG9" s="3">
        <v>3</v>
      </c>
      <c r="AH9" s="3">
        <v>3</v>
      </c>
      <c r="AI9" s="3">
        <v>0</v>
      </c>
      <c r="AJ9" s="3">
        <v>2</v>
      </c>
    </row>
    <row r="10" spans="1:36" ht="28">
      <c r="A10" s="2">
        <v>9</v>
      </c>
      <c r="B10" s="2" t="s">
        <v>186</v>
      </c>
      <c r="C10" s="2" t="s">
        <v>75</v>
      </c>
      <c r="D10" s="2" t="s">
        <v>21</v>
      </c>
      <c r="E10" s="2" t="s">
        <v>187</v>
      </c>
      <c r="F10" s="2" t="s">
        <v>188</v>
      </c>
      <c r="G10" s="2" t="s">
        <v>189</v>
      </c>
      <c r="H10" s="2" t="s">
        <v>190</v>
      </c>
      <c r="I10" s="2" t="s">
        <v>148</v>
      </c>
      <c r="J10" s="2" t="s">
        <v>76</v>
      </c>
      <c r="K10" s="2"/>
      <c r="L10" s="4">
        <f t="shared" si="0"/>
        <v>7</v>
      </c>
      <c r="M10" s="4">
        <f t="shared" si="1"/>
        <v>4</v>
      </c>
      <c r="N10" s="4">
        <f t="shared" si="2"/>
        <v>2</v>
      </c>
      <c r="O10" s="4">
        <f t="shared" si="3"/>
        <v>13</v>
      </c>
      <c r="P10" s="3" t="str">
        <f t="shared" si="4"/>
        <v>Monitor</v>
      </c>
      <c r="Q10" s="3">
        <v>1</v>
      </c>
      <c r="R10" s="3">
        <v>0</v>
      </c>
      <c r="S10" s="3">
        <v>0</v>
      </c>
      <c r="T10" s="3">
        <v>0</v>
      </c>
      <c r="U10" s="3">
        <v>1</v>
      </c>
      <c r="V10" s="3">
        <v>1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1</v>
      </c>
      <c r="AC10" s="3">
        <v>2</v>
      </c>
      <c r="AD10" s="3">
        <v>3</v>
      </c>
      <c r="AE10" s="3">
        <v>1</v>
      </c>
      <c r="AF10" s="3">
        <v>0</v>
      </c>
      <c r="AG10" s="3">
        <v>1</v>
      </c>
      <c r="AH10" s="3">
        <v>0</v>
      </c>
      <c r="AI10" s="3">
        <v>0</v>
      </c>
      <c r="AJ10" s="3">
        <v>1</v>
      </c>
    </row>
    <row r="11" spans="1:36" ht="28">
      <c r="A11" s="2">
        <v>10</v>
      </c>
      <c r="B11" s="2" t="s">
        <v>191</v>
      </c>
      <c r="C11" s="2" t="s">
        <v>60</v>
      </c>
      <c r="D11" s="2" t="s">
        <v>61</v>
      </c>
      <c r="E11" s="2" t="s">
        <v>192</v>
      </c>
      <c r="F11" s="2" t="s">
        <v>193</v>
      </c>
      <c r="G11" s="2" t="s">
        <v>194</v>
      </c>
      <c r="H11" s="2" t="s">
        <v>195</v>
      </c>
      <c r="I11" s="2" t="s">
        <v>173</v>
      </c>
      <c r="J11" s="2" t="s">
        <v>62</v>
      </c>
      <c r="K11" s="2"/>
      <c r="L11" s="4">
        <f t="shared" si="0"/>
        <v>10</v>
      </c>
      <c r="M11" s="4">
        <f t="shared" si="1"/>
        <v>5</v>
      </c>
      <c r="N11" s="4">
        <f t="shared" si="2"/>
        <v>5</v>
      </c>
      <c r="O11" s="4">
        <f t="shared" si="3"/>
        <v>20</v>
      </c>
      <c r="P11" s="3" t="str">
        <f t="shared" si="4"/>
        <v>Tier 3</v>
      </c>
      <c r="Q11" s="3">
        <v>1</v>
      </c>
      <c r="R11" s="3">
        <v>0</v>
      </c>
      <c r="S11" s="3">
        <v>0</v>
      </c>
      <c r="T11" s="3">
        <v>0</v>
      </c>
      <c r="U11" s="3">
        <v>1</v>
      </c>
      <c r="V11" s="3">
        <v>2</v>
      </c>
      <c r="W11" s="3">
        <v>0</v>
      </c>
      <c r="X11" s="3">
        <v>1</v>
      </c>
      <c r="Y11" s="3">
        <v>0</v>
      </c>
      <c r="Z11" s="3">
        <v>0</v>
      </c>
      <c r="AA11" s="3">
        <v>1</v>
      </c>
      <c r="AB11" s="3">
        <v>2</v>
      </c>
      <c r="AC11" s="3">
        <v>3</v>
      </c>
      <c r="AD11" s="3">
        <v>3</v>
      </c>
      <c r="AE11" s="3">
        <v>2</v>
      </c>
      <c r="AF11" s="3">
        <v>0</v>
      </c>
      <c r="AG11" s="3">
        <v>2</v>
      </c>
      <c r="AH11" s="3">
        <v>0</v>
      </c>
      <c r="AI11" s="3">
        <v>0</v>
      </c>
      <c r="AJ11" s="3">
        <v>2</v>
      </c>
    </row>
    <row r="12" spans="1:36" ht="70">
      <c r="A12" s="2">
        <v>11</v>
      </c>
      <c r="B12" s="2" t="s">
        <v>196</v>
      </c>
      <c r="C12" s="2" t="s">
        <v>35</v>
      </c>
      <c r="D12" s="2" t="s">
        <v>36</v>
      </c>
      <c r="E12" s="2" t="s">
        <v>197</v>
      </c>
      <c r="F12" s="2" t="s">
        <v>198</v>
      </c>
      <c r="G12" s="2" t="s">
        <v>199</v>
      </c>
      <c r="H12" s="2" t="s">
        <v>200</v>
      </c>
      <c r="I12" s="2" t="s">
        <v>141</v>
      </c>
      <c r="J12" s="2" t="s">
        <v>37</v>
      </c>
      <c r="K12" s="2" t="s">
        <v>201</v>
      </c>
      <c r="L12" s="4">
        <f t="shared" si="0"/>
        <v>13</v>
      </c>
      <c r="M12" s="4">
        <f t="shared" si="1"/>
        <v>12</v>
      </c>
      <c r="N12" s="4">
        <f t="shared" si="2"/>
        <v>4</v>
      </c>
      <c r="O12" s="4">
        <f t="shared" si="3"/>
        <v>29</v>
      </c>
      <c r="P12" s="3" t="str">
        <f t="shared" si="4"/>
        <v>Tier 2</v>
      </c>
      <c r="Q12" s="3">
        <v>1</v>
      </c>
      <c r="R12" s="3">
        <v>0</v>
      </c>
      <c r="S12" s="3">
        <v>0</v>
      </c>
      <c r="T12" s="3">
        <v>1</v>
      </c>
      <c r="U12" s="3">
        <v>3</v>
      </c>
      <c r="V12" s="3">
        <v>3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3</v>
      </c>
      <c r="AC12" s="3">
        <v>2</v>
      </c>
      <c r="AD12" s="3">
        <v>3</v>
      </c>
      <c r="AE12" s="3">
        <v>3</v>
      </c>
      <c r="AF12" s="3">
        <v>3</v>
      </c>
      <c r="AG12" s="3">
        <v>2</v>
      </c>
      <c r="AH12" s="3">
        <v>2</v>
      </c>
      <c r="AI12" s="3">
        <v>1</v>
      </c>
      <c r="AJ12" s="3">
        <v>1</v>
      </c>
    </row>
    <row r="13" spans="1:36" ht="84">
      <c r="A13" s="2">
        <v>12</v>
      </c>
      <c r="B13" s="2" t="s">
        <v>202</v>
      </c>
      <c r="C13" s="2" t="s">
        <v>16</v>
      </c>
      <c r="D13" s="2" t="s">
        <v>9</v>
      </c>
      <c r="E13" s="2" t="s">
        <v>203</v>
      </c>
      <c r="F13" s="2" t="s">
        <v>204</v>
      </c>
      <c r="G13" s="2" t="s">
        <v>205</v>
      </c>
      <c r="H13" s="2" t="s">
        <v>206</v>
      </c>
      <c r="I13" s="2" t="s">
        <v>141</v>
      </c>
      <c r="J13" s="2" t="s">
        <v>17</v>
      </c>
      <c r="K13" s="2" t="s">
        <v>207</v>
      </c>
      <c r="L13" s="4">
        <f t="shared" si="0"/>
        <v>12</v>
      </c>
      <c r="M13" s="4">
        <f t="shared" si="1"/>
        <v>22</v>
      </c>
      <c r="N13" s="4">
        <f t="shared" si="2"/>
        <v>7</v>
      </c>
      <c r="O13" s="4">
        <f t="shared" si="3"/>
        <v>41</v>
      </c>
      <c r="P13" s="3" t="str">
        <f t="shared" si="4"/>
        <v>Tier 1</v>
      </c>
      <c r="Q13" s="3">
        <v>3</v>
      </c>
      <c r="R13" s="3">
        <v>2</v>
      </c>
      <c r="S13" s="3">
        <v>0</v>
      </c>
      <c r="T13" s="3">
        <v>2</v>
      </c>
      <c r="U13" s="3">
        <v>3</v>
      </c>
      <c r="V13" s="3">
        <v>3</v>
      </c>
      <c r="W13" s="3">
        <v>2</v>
      </c>
      <c r="X13" s="3">
        <v>1</v>
      </c>
      <c r="Y13" s="3">
        <v>1</v>
      </c>
      <c r="Z13" s="3">
        <v>0</v>
      </c>
      <c r="AA13" s="3">
        <v>2</v>
      </c>
      <c r="AB13" s="3">
        <v>3</v>
      </c>
      <c r="AC13" s="3">
        <v>3</v>
      </c>
      <c r="AD13" s="3">
        <v>3</v>
      </c>
      <c r="AE13" s="3">
        <v>3</v>
      </c>
      <c r="AF13" s="3">
        <v>0</v>
      </c>
      <c r="AG13" s="3">
        <v>3</v>
      </c>
      <c r="AH13" s="3">
        <v>3</v>
      </c>
      <c r="AI13" s="3">
        <v>2</v>
      </c>
      <c r="AJ13" s="3">
        <v>2</v>
      </c>
    </row>
    <row r="14" spans="1:36" ht="42">
      <c r="A14" s="2">
        <v>13</v>
      </c>
      <c r="B14" s="2" t="s">
        <v>38</v>
      </c>
      <c r="C14" s="2" t="s">
        <v>38</v>
      </c>
      <c r="D14" s="2" t="s">
        <v>39</v>
      </c>
      <c r="E14" s="2" t="s">
        <v>208</v>
      </c>
      <c r="F14" s="2" t="s">
        <v>209</v>
      </c>
      <c r="G14" s="2" t="s">
        <v>210</v>
      </c>
      <c r="H14" s="2" t="s">
        <v>211</v>
      </c>
      <c r="I14" s="2" t="s">
        <v>141</v>
      </c>
      <c r="J14" s="2" t="s">
        <v>40</v>
      </c>
      <c r="K14" s="2" t="s">
        <v>212</v>
      </c>
      <c r="L14" s="4">
        <f t="shared" si="0"/>
        <v>13</v>
      </c>
      <c r="M14" s="4">
        <f t="shared" si="1"/>
        <v>9</v>
      </c>
      <c r="N14" s="4">
        <f t="shared" si="2"/>
        <v>6</v>
      </c>
      <c r="O14" s="4">
        <f t="shared" si="3"/>
        <v>28</v>
      </c>
      <c r="P14" s="3" t="str">
        <f t="shared" si="4"/>
        <v>Tier 2</v>
      </c>
      <c r="Q14" s="3">
        <v>2</v>
      </c>
      <c r="R14" s="3">
        <v>0</v>
      </c>
      <c r="S14" s="3">
        <v>0</v>
      </c>
      <c r="T14" s="3">
        <v>1</v>
      </c>
      <c r="U14" s="3">
        <v>1</v>
      </c>
      <c r="V14" s="3">
        <v>2</v>
      </c>
      <c r="W14" s="3">
        <v>0</v>
      </c>
      <c r="X14" s="3">
        <v>1</v>
      </c>
      <c r="Y14" s="3">
        <v>0</v>
      </c>
      <c r="Z14" s="3">
        <v>0</v>
      </c>
      <c r="AA14" s="3">
        <v>2</v>
      </c>
      <c r="AB14" s="3">
        <v>2</v>
      </c>
      <c r="AC14" s="3">
        <v>2</v>
      </c>
      <c r="AD14" s="3">
        <v>3</v>
      </c>
      <c r="AE14" s="3">
        <v>2</v>
      </c>
      <c r="AF14" s="3">
        <v>3</v>
      </c>
      <c r="AG14" s="3">
        <v>3</v>
      </c>
      <c r="AH14" s="3">
        <v>2</v>
      </c>
      <c r="AI14" s="3">
        <v>0</v>
      </c>
      <c r="AJ14" s="3">
        <v>2</v>
      </c>
    </row>
    <row r="15" spans="1:36" ht="42">
      <c r="A15" s="2">
        <v>14</v>
      </c>
      <c r="B15" s="2" t="s">
        <v>213</v>
      </c>
      <c r="C15" s="2" t="s">
        <v>88</v>
      </c>
      <c r="D15" s="2" t="s">
        <v>89</v>
      </c>
      <c r="E15" s="2" t="s">
        <v>214</v>
      </c>
      <c r="F15" s="2" t="s">
        <v>215</v>
      </c>
      <c r="G15" s="2" t="s">
        <v>216</v>
      </c>
      <c r="H15" s="2" t="s">
        <v>217</v>
      </c>
      <c r="I15" s="2" t="s">
        <v>173</v>
      </c>
      <c r="J15" s="2" t="s">
        <v>90</v>
      </c>
      <c r="K15" s="2" t="s">
        <v>218</v>
      </c>
      <c r="L15" s="4">
        <f t="shared" si="0"/>
        <v>3</v>
      </c>
      <c r="M15" s="4">
        <f t="shared" si="1"/>
        <v>3</v>
      </c>
      <c r="N15" s="4">
        <f t="shared" si="2"/>
        <v>4</v>
      </c>
      <c r="O15" s="4">
        <f t="shared" si="3"/>
        <v>10</v>
      </c>
      <c r="P15" s="3" t="str">
        <f t="shared" si="4"/>
        <v>Monitor</v>
      </c>
      <c r="Q15" s="3">
        <v>0</v>
      </c>
      <c r="R15" s="3">
        <v>0</v>
      </c>
      <c r="S15" s="3">
        <v>0</v>
      </c>
      <c r="T15" s="3">
        <v>0</v>
      </c>
      <c r="U15" s="3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3</v>
      </c>
      <c r="AC15" s="3">
        <v>0</v>
      </c>
      <c r="AD15" s="3">
        <v>0</v>
      </c>
      <c r="AE15" s="3">
        <v>0</v>
      </c>
      <c r="AF15" s="3">
        <v>2</v>
      </c>
      <c r="AG15" s="3">
        <v>1</v>
      </c>
      <c r="AH15" s="3">
        <v>0</v>
      </c>
      <c r="AI15" s="3">
        <v>1</v>
      </c>
      <c r="AJ15" s="3">
        <v>1</v>
      </c>
    </row>
    <row r="16" spans="1:36" ht="28">
      <c r="A16" s="2">
        <v>15</v>
      </c>
      <c r="B16" s="2" t="s">
        <v>219</v>
      </c>
      <c r="C16" s="2" t="s">
        <v>77</v>
      </c>
      <c r="D16" s="2" t="s">
        <v>21</v>
      </c>
      <c r="E16" s="2" t="s">
        <v>220</v>
      </c>
      <c r="F16" s="2" t="s">
        <v>221</v>
      </c>
      <c r="G16" s="2" t="s">
        <v>222</v>
      </c>
      <c r="H16" s="2" t="s">
        <v>223</v>
      </c>
      <c r="I16" s="2" t="s">
        <v>173</v>
      </c>
      <c r="J16" s="2" t="s">
        <v>78</v>
      </c>
      <c r="K16" s="2" t="s">
        <v>224</v>
      </c>
      <c r="L16" s="4">
        <f t="shared" si="0"/>
        <v>6</v>
      </c>
      <c r="M16" s="4">
        <f t="shared" si="1"/>
        <v>5</v>
      </c>
      <c r="N16" s="4">
        <f t="shared" si="2"/>
        <v>2</v>
      </c>
      <c r="O16" s="4">
        <f t="shared" si="3"/>
        <v>13</v>
      </c>
      <c r="P16" s="3" t="str">
        <f t="shared" si="4"/>
        <v>Monitor</v>
      </c>
      <c r="Q16" s="3">
        <v>1</v>
      </c>
      <c r="R16" s="3">
        <v>0</v>
      </c>
      <c r="S16" s="3">
        <v>0</v>
      </c>
      <c r="T16" s="3">
        <v>1</v>
      </c>
      <c r="U16" s="3">
        <v>1</v>
      </c>
      <c r="V16" s="3">
        <v>1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1</v>
      </c>
      <c r="AC16" s="3">
        <v>2</v>
      </c>
      <c r="AD16" s="3">
        <v>2</v>
      </c>
      <c r="AE16" s="3">
        <v>1</v>
      </c>
      <c r="AF16" s="3">
        <v>0</v>
      </c>
      <c r="AG16" s="3">
        <v>1</v>
      </c>
      <c r="AH16" s="3">
        <v>0</v>
      </c>
      <c r="AI16" s="3">
        <v>0</v>
      </c>
      <c r="AJ16" s="3">
        <v>1</v>
      </c>
    </row>
    <row r="17" spans="1:36" ht="42">
      <c r="A17" s="2">
        <v>16</v>
      </c>
      <c r="B17" s="2" t="s">
        <v>225</v>
      </c>
      <c r="C17" s="2" t="s">
        <v>63</v>
      </c>
      <c r="D17" s="2" t="s">
        <v>64</v>
      </c>
      <c r="E17" s="2" t="s">
        <v>226</v>
      </c>
      <c r="F17" s="2" t="s">
        <v>227</v>
      </c>
      <c r="G17" s="2" t="s">
        <v>228</v>
      </c>
      <c r="H17" s="2" t="s">
        <v>217</v>
      </c>
      <c r="I17" s="2" t="s">
        <v>154</v>
      </c>
      <c r="J17" s="2" t="s">
        <v>65</v>
      </c>
      <c r="K17" s="2" t="s">
        <v>229</v>
      </c>
      <c r="L17" s="4">
        <f t="shared" si="0"/>
        <v>10</v>
      </c>
      <c r="M17" s="4">
        <f t="shared" si="1"/>
        <v>5</v>
      </c>
      <c r="N17" s="4">
        <f t="shared" si="2"/>
        <v>3</v>
      </c>
      <c r="O17" s="4">
        <f t="shared" si="3"/>
        <v>18</v>
      </c>
      <c r="P17" s="3" t="str">
        <f t="shared" si="4"/>
        <v>Tier 3</v>
      </c>
      <c r="Q17" s="3">
        <v>1</v>
      </c>
      <c r="R17" s="3">
        <v>0</v>
      </c>
      <c r="S17" s="3">
        <v>0</v>
      </c>
      <c r="T17" s="3">
        <v>1</v>
      </c>
      <c r="U17" s="3">
        <v>1</v>
      </c>
      <c r="V17" s="3">
        <v>1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1</v>
      </c>
      <c r="AC17" s="3">
        <v>1</v>
      </c>
      <c r="AD17" s="3">
        <v>1</v>
      </c>
      <c r="AE17" s="3">
        <v>3</v>
      </c>
      <c r="AF17" s="3">
        <v>3</v>
      </c>
      <c r="AG17" s="3">
        <v>2</v>
      </c>
      <c r="AH17" s="3">
        <v>1</v>
      </c>
      <c r="AI17" s="3">
        <v>0</v>
      </c>
      <c r="AJ17" s="3">
        <v>1</v>
      </c>
    </row>
    <row r="18" spans="1:36" ht="42">
      <c r="A18" s="2">
        <v>17</v>
      </c>
      <c r="B18" s="2" t="s">
        <v>58</v>
      </c>
      <c r="C18" s="2" t="s">
        <v>58</v>
      </c>
      <c r="D18" s="2" t="s">
        <v>21</v>
      </c>
      <c r="E18" s="2" t="s">
        <v>230</v>
      </c>
      <c r="F18" s="2" t="s">
        <v>231</v>
      </c>
      <c r="G18" s="2" t="s">
        <v>232</v>
      </c>
      <c r="H18" s="2" t="s">
        <v>233</v>
      </c>
      <c r="I18" s="2" t="s">
        <v>161</v>
      </c>
      <c r="J18" s="2" t="s">
        <v>59</v>
      </c>
      <c r="K18" s="2" t="s">
        <v>162</v>
      </c>
      <c r="L18" s="4">
        <f t="shared" si="0"/>
        <v>10</v>
      </c>
      <c r="M18" s="4">
        <f t="shared" si="1"/>
        <v>7</v>
      </c>
      <c r="N18" s="4">
        <f t="shared" si="2"/>
        <v>4</v>
      </c>
      <c r="O18" s="4">
        <f t="shared" si="3"/>
        <v>21</v>
      </c>
      <c r="P18" s="3" t="str">
        <f t="shared" si="4"/>
        <v>Tier 3</v>
      </c>
      <c r="Q18" s="3">
        <v>1</v>
      </c>
      <c r="R18" s="3">
        <v>0</v>
      </c>
      <c r="S18" s="3">
        <v>0</v>
      </c>
      <c r="T18" s="3">
        <v>1</v>
      </c>
      <c r="U18" s="3">
        <v>1</v>
      </c>
      <c r="V18" s="3">
        <v>2</v>
      </c>
      <c r="W18" s="3">
        <v>0</v>
      </c>
      <c r="X18" s="3">
        <v>1</v>
      </c>
      <c r="Y18" s="3">
        <v>0</v>
      </c>
      <c r="Z18" s="3">
        <v>0</v>
      </c>
      <c r="AA18" s="3">
        <v>1</v>
      </c>
      <c r="AB18" s="3">
        <v>2</v>
      </c>
      <c r="AC18" s="3">
        <v>3</v>
      </c>
      <c r="AD18" s="3">
        <v>3</v>
      </c>
      <c r="AE18" s="3">
        <v>2</v>
      </c>
      <c r="AF18" s="3">
        <v>0</v>
      </c>
      <c r="AG18" s="3">
        <v>2</v>
      </c>
      <c r="AH18" s="3">
        <v>1</v>
      </c>
      <c r="AI18" s="3">
        <v>0</v>
      </c>
      <c r="AJ18" s="3">
        <v>1</v>
      </c>
    </row>
    <row r="19" spans="1:36" ht="56">
      <c r="A19" s="2">
        <v>18</v>
      </c>
      <c r="B19" s="2" t="s">
        <v>234</v>
      </c>
      <c r="C19" s="2" t="s">
        <v>45</v>
      </c>
      <c r="D19" s="2" t="s">
        <v>46</v>
      </c>
      <c r="E19" s="2" t="s">
        <v>235</v>
      </c>
      <c r="F19" s="2" t="s">
        <v>236</v>
      </c>
      <c r="G19" s="2" t="s">
        <v>152</v>
      </c>
      <c r="H19" s="2" t="s">
        <v>237</v>
      </c>
      <c r="I19" s="2" t="s">
        <v>184</v>
      </c>
      <c r="J19" s="2" t="s">
        <v>47</v>
      </c>
      <c r="K19" s="2" t="s">
        <v>238</v>
      </c>
      <c r="L19" s="4">
        <f t="shared" si="0"/>
        <v>11</v>
      </c>
      <c r="M19" s="4">
        <f t="shared" si="1"/>
        <v>9</v>
      </c>
      <c r="N19" s="4">
        <f t="shared" si="2"/>
        <v>5</v>
      </c>
      <c r="O19" s="4">
        <f t="shared" si="3"/>
        <v>25</v>
      </c>
      <c r="P19" s="3" t="str">
        <f t="shared" si="4"/>
        <v>Tier 2</v>
      </c>
      <c r="Q19" s="3">
        <v>2</v>
      </c>
      <c r="R19" s="3">
        <v>0</v>
      </c>
      <c r="S19" s="3">
        <v>0</v>
      </c>
      <c r="T19" s="3">
        <v>1</v>
      </c>
      <c r="U19" s="3">
        <v>1</v>
      </c>
      <c r="V19" s="3">
        <v>2</v>
      </c>
      <c r="W19" s="3">
        <v>0</v>
      </c>
      <c r="X19" s="3">
        <v>1</v>
      </c>
      <c r="Y19" s="3">
        <v>0</v>
      </c>
      <c r="Z19" s="3">
        <v>0</v>
      </c>
      <c r="AA19" s="3">
        <v>1</v>
      </c>
      <c r="AB19" s="3">
        <v>2</v>
      </c>
      <c r="AC19" s="3">
        <v>3</v>
      </c>
      <c r="AD19" s="3">
        <v>3</v>
      </c>
      <c r="AE19" s="3">
        <v>2</v>
      </c>
      <c r="AF19" s="3">
        <v>0</v>
      </c>
      <c r="AG19" s="3">
        <v>3</v>
      </c>
      <c r="AH19" s="3">
        <v>2</v>
      </c>
      <c r="AI19" s="3">
        <v>0</v>
      </c>
      <c r="AJ19" s="3">
        <v>2</v>
      </c>
    </row>
    <row r="20" spans="1:36" ht="42">
      <c r="A20" s="2">
        <v>19</v>
      </c>
      <c r="B20" s="2" t="s">
        <v>239</v>
      </c>
      <c r="C20" s="2" t="s">
        <v>56</v>
      </c>
      <c r="D20" s="2" t="s">
        <v>21</v>
      </c>
      <c r="E20" s="2" t="s">
        <v>240</v>
      </c>
      <c r="F20" s="2" t="s">
        <v>241</v>
      </c>
      <c r="G20" s="2" t="s">
        <v>242</v>
      </c>
      <c r="H20" s="2" t="s">
        <v>243</v>
      </c>
      <c r="I20" s="2" t="s">
        <v>161</v>
      </c>
      <c r="J20" s="2" t="s">
        <v>57</v>
      </c>
      <c r="K20" s="2" t="s">
        <v>162</v>
      </c>
      <c r="L20" s="4">
        <f t="shared" si="0"/>
        <v>10</v>
      </c>
      <c r="M20" s="4">
        <f t="shared" si="1"/>
        <v>7</v>
      </c>
      <c r="N20" s="4">
        <f t="shared" si="2"/>
        <v>5</v>
      </c>
      <c r="O20" s="4">
        <f t="shared" si="3"/>
        <v>22</v>
      </c>
      <c r="P20" s="3" t="str">
        <f t="shared" si="4"/>
        <v>Tier 3</v>
      </c>
      <c r="Q20" s="3">
        <v>1</v>
      </c>
      <c r="R20" s="3">
        <v>0</v>
      </c>
      <c r="S20" s="3">
        <v>0</v>
      </c>
      <c r="T20" s="3">
        <v>1</v>
      </c>
      <c r="U20" s="3">
        <v>1</v>
      </c>
      <c r="V20" s="3">
        <v>2</v>
      </c>
      <c r="W20" s="3">
        <v>0</v>
      </c>
      <c r="X20" s="3">
        <v>1</v>
      </c>
      <c r="Y20" s="3">
        <v>0</v>
      </c>
      <c r="Z20" s="3">
        <v>0</v>
      </c>
      <c r="AA20" s="3">
        <v>1</v>
      </c>
      <c r="AB20" s="3">
        <v>2</v>
      </c>
      <c r="AC20" s="3">
        <v>3</v>
      </c>
      <c r="AD20" s="3">
        <v>3</v>
      </c>
      <c r="AE20" s="3">
        <v>2</v>
      </c>
      <c r="AF20" s="3">
        <v>0</v>
      </c>
      <c r="AG20" s="3">
        <v>2</v>
      </c>
      <c r="AH20" s="3">
        <v>1</v>
      </c>
      <c r="AI20" s="3">
        <v>0</v>
      </c>
      <c r="AJ20" s="3">
        <v>2</v>
      </c>
    </row>
    <row r="21" spans="1:36" ht="56">
      <c r="A21" s="2">
        <v>20</v>
      </c>
      <c r="B21" s="2" t="s">
        <v>244</v>
      </c>
      <c r="C21" s="2" t="s">
        <v>43</v>
      </c>
      <c r="D21" s="2" t="s">
        <v>21</v>
      </c>
      <c r="E21" s="2" t="s">
        <v>245</v>
      </c>
      <c r="F21" s="2" t="s">
        <v>246</v>
      </c>
      <c r="G21" s="2" t="s">
        <v>247</v>
      </c>
      <c r="H21" s="2" t="s">
        <v>217</v>
      </c>
      <c r="I21" s="2" t="s">
        <v>154</v>
      </c>
      <c r="J21" s="2" t="s">
        <v>44</v>
      </c>
      <c r="K21" s="2" t="s">
        <v>248</v>
      </c>
      <c r="L21" s="4">
        <f t="shared" si="0"/>
        <v>10</v>
      </c>
      <c r="M21" s="4">
        <f t="shared" si="1"/>
        <v>11</v>
      </c>
      <c r="N21" s="4">
        <f t="shared" si="2"/>
        <v>5</v>
      </c>
      <c r="O21" s="4">
        <f t="shared" si="3"/>
        <v>26</v>
      </c>
      <c r="P21" s="3" t="str">
        <f t="shared" si="4"/>
        <v>Tier 2</v>
      </c>
      <c r="Q21" s="3">
        <v>2</v>
      </c>
      <c r="R21" s="3">
        <v>0</v>
      </c>
      <c r="S21" s="3">
        <v>0</v>
      </c>
      <c r="T21" s="3">
        <v>1</v>
      </c>
      <c r="U21" s="3">
        <v>2</v>
      </c>
      <c r="V21" s="3">
        <v>2</v>
      </c>
      <c r="W21" s="3">
        <v>2</v>
      </c>
      <c r="X21" s="3">
        <v>1</v>
      </c>
      <c r="Y21" s="3">
        <v>0</v>
      </c>
      <c r="Z21" s="3">
        <v>0</v>
      </c>
      <c r="AA21" s="3">
        <v>1</v>
      </c>
      <c r="AB21" s="3">
        <v>2</v>
      </c>
      <c r="AC21" s="3">
        <v>3</v>
      </c>
      <c r="AD21" s="3">
        <v>3</v>
      </c>
      <c r="AE21" s="3">
        <v>2</v>
      </c>
      <c r="AF21" s="3">
        <v>0</v>
      </c>
      <c r="AG21" s="3">
        <v>2</v>
      </c>
      <c r="AH21" s="3">
        <v>1</v>
      </c>
      <c r="AI21" s="3">
        <v>0</v>
      </c>
      <c r="AJ21" s="3">
        <v>2</v>
      </c>
    </row>
    <row r="22" spans="1:36" ht="98">
      <c r="A22" s="2">
        <v>21</v>
      </c>
      <c r="B22" s="2" t="s">
        <v>249</v>
      </c>
      <c r="C22" s="2" t="s">
        <v>41</v>
      </c>
      <c r="D22" s="2" t="s">
        <v>21</v>
      </c>
      <c r="E22" s="2" t="s">
        <v>250</v>
      </c>
      <c r="F22" s="2" t="s">
        <v>251</v>
      </c>
      <c r="G22" s="2" t="s">
        <v>252</v>
      </c>
      <c r="H22" s="2" t="s">
        <v>253</v>
      </c>
      <c r="I22" s="2" t="s">
        <v>154</v>
      </c>
      <c r="J22" s="2" t="s">
        <v>42</v>
      </c>
      <c r="K22" s="2" t="s">
        <v>254</v>
      </c>
      <c r="L22" s="4">
        <f t="shared" si="0"/>
        <v>10</v>
      </c>
      <c r="M22" s="4">
        <f t="shared" si="1"/>
        <v>12</v>
      </c>
      <c r="N22" s="4">
        <f t="shared" si="2"/>
        <v>5</v>
      </c>
      <c r="O22" s="4">
        <f t="shared" si="3"/>
        <v>27</v>
      </c>
      <c r="P22" s="3" t="str">
        <f t="shared" si="4"/>
        <v>Tier 2</v>
      </c>
      <c r="Q22" s="3">
        <v>2</v>
      </c>
      <c r="R22" s="3">
        <v>1</v>
      </c>
      <c r="S22" s="3">
        <v>0</v>
      </c>
      <c r="T22" s="3">
        <v>1</v>
      </c>
      <c r="U22" s="3">
        <v>2</v>
      </c>
      <c r="V22" s="3">
        <v>2</v>
      </c>
      <c r="W22" s="3">
        <v>2</v>
      </c>
      <c r="X22" s="3">
        <v>1</v>
      </c>
      <c r="Y22" s="3">
        <v>0</v>
      </c>
      <c r="Z22" s="3">
        <v>0</v>
      </c>
      <c r="AA22" s="3">
        <v>1</v>
      </c>
      <c r="AB22" s="3">
        <v>2</v>
      </c>
      <c r="AC22" s="3">
        <v>3</v>
      </c>
      <c r="AD22" s="3">
        <v>3</v>
      </c>
      <c r="AE22" s="3">
        <v>2</v>
      </c>
      <c r="AF22" s="3">
        <v>0</v>
      </c>
      <c r="AG22" s="3">
        <v>2</v>
      </c>
      <c r="AH22" s="3">
        <v>1</v>
      </c>
      <c r="AI22" s="3">
        <v>0</v>
      </c>
      <c r="AJ22" s="3">
        <v>2</v>
      </c>
    </row>
    <row r="23" spans="1:36" ht="42">
      <c r="A23" s="2">
        <v>22</v>
      </c>
      <c r="B23" s="2" t="s">
        <v>82</v>
      </c>
      <c r="C23" s="2" t="s">
        <v>82</v>
      </c>
      <c r="D23" s="2" t="s">
        <v>83</v>
      </c>
      <c r="E23" s="2" t="s">
        <v>255</v>
      </c>
      <c r="F23" s="2" t="s">
        <v>256</v>
      </c>
      <c r="G23" s="2" t="s">
        <v>257</v>
      </c>
      <c r="H23" s="2" t="s">
        <v>237</v>
      </c>
      <c r="I23" s="2" t="s">
        <v>173</v>
      </c>
      <c r="J23" s="2" t="s">
        <v>84</v>
      </c>
      <c r="K23" s="2" t="s">
        <v>258</v>
      </c>
      <c r="L23" s="4">
        <f t="shared" si="0"/>
        <v>5</v>
      </c>
      <c r="M23" s="4">
        <f t="shared" si="1"/>
        <v>5</v>
      </c>
      <c r="N23" s="4">
        <f t="shared" si="2"/>
        <v>2</v>
      </c>
      <c r="O23" s="4">
        <f t="shared" si="3"/>
        <v>12</v>
      </c>
      <c r="P23" s="3" t="str">
        <f t="shared" si="4"/>
        <v>Monitor</v>
      </c>
      <c r="Q23" s="3">
        <v>1</v>
      </c>
      <c r="R23" s="3">
        <v>0</v>
      </c>
      <c r="S23" s="3">
        <v>0</v>
      </c>
      <c r="T23" s="3">
        <v>1</v>
      </c>
      <c r="U23" s="3">
        <v>1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1</v>
      </c>
      <c r="AC23" s="3">
        <v>1</v>
      </c>
      <c r="AD23" s="3">
        <v>1</v>
      </c>
      <c r="AE23" s="3">
        <v>1</v>
      </c>
      <c r="AF23" s="3">
        <v>0</v>
      </c>
      <c r="AG23" s="3">
        <v>2</v>
      </c>
      <c r="AH23" s="3">
        <v>1</v>
      </c>
      <c r="AI23" s="3">
        <v>0</v>
      </c>
      <c r="AJ23" s="3">
        <v>1</v>
      </c>
    </row>
    <row r="24" spans="1:36" ht="84">
      <c r="A24" s="2">
        <v>23</v>
      </c>
      <c r="B24" s="2" t="s">
        <v>259</v>
      </c>
      <c r="C24" s="2" t="s">
        <v>18</v>
      </c>
      <c r="D24" s="2" t="s">
        <v>9</v>
      </c>
      <c r="E24" s="2" t="s">
        <v>260</v>
      </c>
      <c r="F24" s="2" t="s">
        <v>261</v>
      </c>
      <c r="G24" s="2" t="s">
        <v>262</v>
      </c>
      <c r="H24" s="2" t="s">
        <v>263</v>
      </c>
      <c r="I24" s="2" t="s">
        <v>141</v>
      </c>
      <c r="J24" s="2" t="s">
        <v>19</v>
      </c>
      <c r="K24" s="2" t="s">
        <v>264</v>
      </c>
      <c r="L24" s="4">
        <f t="shared" si="0"/>
        <v>12</v>
      </c>
      <c r="M24" s="4">
        <f t="shared" si="1"/>
        <v>21</v>
      </c>
      <c r="N24" s="4">
        <f t="shared" si="2"/>
        <v>8</v>
      </c>
      <c r="O24" s="4">
        <f t="shared" si="3"/>
        <v>41</v>
      </c>
      <c r="P24" s="3" t="str">
        <f t="shared" si="4"/>
        <v>Tier 1</v>
      </c>
      <c r="Q24" s="3">
        <v>3</v>
      </c>
      <c r="R24" s="3">
        <v>1</v>
      </c>
      <c r="S24" s="3">
        <v>0</v>
      </c>
      <c r="T24" s="3">
        <v>2</v>
      </c>
      <c r="U24" s="3">
        <v>3</v>
      </c>
      <c r="V24" s="3">
        <v>3</v>
      </c>
      <c r="W24" s="3">
        <v>3</v>
      </c>
      <c r="X24" s="3">
        <v>1</v>
      </c>
      <c r="Y24" s="3">
        <v>1</v>
      </c>
      <c r="Z24" s="3">
        <v>0</v>
      </c>
      <c r="AA24" s="3">
        <v>2</v>
      </c>
      <c r="AB24" s="3">
        <v>3</v>
      </c>
      <c r="AC24" s="3">
        <v>3</v>
      </c>
      <c r="AD24" s="3">
        <v>3</v>
      </c>
      <c r="AE24" s="3">
        <v>3</v>
      </c>
      <c r="AF24" s="3">
        <v>0</v>
      </c>
      <c r="AG24" s="3">
        <v>3</v>
      </c>
      <c r="AH24" s="3">
        <v>3</v>
      </c>
      <c r="AI24" s="3">
        <v>1</v>
      </c>
      <c r="AJ24" s="3">
        <v>3</v>
      </c>
    </row>
    <row r="25" spans="1:36" ht="126">
      <c r="A25" s="2">
        <v>24</v>
      </c>
      <c r="B25" s="2" t="s">
        <v>265</v>
      </c>
      <c r="C25" s="2" t="s">
        <v>8</v>
      </c>
      <c r="D25" s="2" t="s">
        <v>9</v>
      </c>
      <c r="E25" s="2" t="s">
        <v>266</v>
      </c>
      <c r="F25" s="2" t="s">
        <v>267</v>
      </c>
      <c r="G25" s="2" t="s">
        <v>268</v>
      </c>
      <c r="H25" s="2" t="s">
        <v>269</v>
      </c>
      <c r="I25" s="2" t="s">
        <v>141</v>
      </c>
      <c r="J25" s="2" t="s">
        <v>11</v>
      </c>
      <c r="K25" s="2" t="s">
        <v>270</v>
      </c>
      <c r="L25" s="4">
        <f t="shared" si="0"/>
        <v>13</v>
      </c>
      <c r="M25" s="4">
        <f t="shared" si="1"/>
        <v>25</v>
      </c>
      <c r="N25" s="4">
        <f t="shared" si="2"/>
        <v>8</v>
      </c>
      <c r="O25" s="4">
        <f t="shared" si="3"/>
        <v>46</v>
      </c>
      <c r="P25" s="3" t="str">
        <f t="shared" si="4"/>
        <v>Tier 1</v>
      </c>
      <c r="Q25" s="3">
        <v>3</v>
      </c>
      <c r="R25" s="3">
        <v>3</v>
      </c>
      <c r="S25" s="3">
        <v>0</v>
      </c>
      <c r="T25" s="3">
        <v>2</v>
      </c>
      <c r="U25" s="3">
        <v>3</v>
      </c>
      <c r="V25" s="3">
        <v>3</v>
      </c>
      <c r="W25" s="3">
        <v>3</v>
      </c>
      <c r="X25" s="3">
        <v>1</v>
      </c>
      <c r="Y25" s="3">
        <v>1</v>
      </c>
      <c r="Z25" s="3">
        <v>0</v>
      </c>
      <c r="AA25" s="3">
        <v>2</v>
      </c>
      <c r="AB25" s="3">
        <v>3</v>
      </c>
      <c r="AC25" s="3">
        <v>3</v>
      </c>
      <c r="AD25" s="3">
        <v>3</v>
      </c>
      <c r="AE25" s="3">
        <v>3</v>
      </c>
      <c r="AF25" s="3">
        <v>1</v>
      </c>
      <c r="AG25" s="3">
        <v>3</v>
      </c>
      <c r="AH25" s="3">
        <v>3</v>
      </c>
      <c r="AI25" s="3">
        <v>3</v>
      </c>
      <c r="AJ25" s="3">
        <v>3</v>
      </c>
    </row>
    <row r="26" spans="1:36" ht="70">
      <c r="A26" s="2">
        <v>25</v>
      </c>
      <c r="B26" s="2" t="s">
        <v>271</v>
      </c>
      <c r="C26" s="2" t="s">
        <v>96</v>
      </c>
      <c r="D26" s="2" t="s">
        <v>97</v>
      </c>
      <c r="E26" s="2" t="s">
        <v>272</v>
      </c>
      <c r="F26" s="2" t="s">
        <v>273</v>
      </c>
      <c r="G26" s="2" t="s">
        <v>274</v>
      </c>
      <c r="H26" s="2" t="s">
        <v>217</v>
      </c>
      <c r="I26" s="2" t="s">
        <v>148</v>
      </c>
      <c r="J26" s="2" t="s">
        <v>98</v>
      </c>
      <c r="K26" s="2" t="s">
        <v>275</v>
      </c>
      <c r="L26" s="4">
        <f t="shared" si="0"/>
        <v>2</v>
      </c>
      <c r="M26" s="4">
        <f t="shared" si="1"/>
        <v>4</v>
      </c>
      <c r="N26" s="4">
        <f t="shared" si="2"/>
        <v>1</v>
      </c>
      <c r="O26" s="4">
        <f t="shared" si="3"/>
        <v>7</v>
      </c>
      <c r="P26" s="3" t="str">
        <f t="shared" si="4"/>
        <v>Monitor</v>
      </c>
      <c r="Q26" s="3">
        <v>1</v>
      </c>
      <c r="R26" s="3">
        <v>0</v>
      </c>
      <c r="S26" s="3">
        <v>0</v>
      </c>
      <c r="T26" s="3">
        <v>1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</v>
      </c>
      <c r="AC26" s="3">
        <v>0</v>
      </c>
      <c r="AD26" s="3">
        <v>0</v>
      </c>
      <c r="AE26" s="3">
        <v>0</v>
      </c>
      <c r="AF26" s="3">
        <v>1</v>
      </c>
      <c r="AG26" s="3">
        <v>1</v>
      </c>
      <c r="AH26" s="3">
        <v>0</v>
      </c>
      <c r="AI26" s="3">
        <v>1</v>
      </c>
      <c r="AJ26" s="3">
        <v>0</v>
      </c>
    </row>
    <row r="27" spans="1:36" ht="56">
      <c r="A27" s="2">
        <v>26</v>
      </c>
      <c r="B27" s="2" t="s">
        <v>276</v>
      </c>
      <c r="C27" s="2" t="s">
        <v>66</v>
      </c>
      <c r="D27" s="2" t="s">
        <v>67</v>
      </c>
      <c r="E27" s="2" t="s">
        <v>277</v>
      </c>
      <c r="F27" s="2" t="s">
        <v>278</v>
      </c>
      <c r="G27" s="2" t="s">
        <v>279</v>
      </c>
      <c r="H27" s="2" t="s">
        <v>217</v>
      </c>
      <c r="I27" s="2" t="s">
        <v>161</v>
      </c>
      <c r="J27" s="2" t="s">
        <v>68</v>
      </c>
      <c r="K27" s="2" t="s">
        <v>280</v>
      </c>
      <c r="L27" s="4">
        <f t="shared" si="0"/>
        <v>7</v>
      </c>
      <c r="M27" s="4">
        <f t="shared" si="1"/>
        <v>4</v>
      </c>
      <c r="N27" s="4">
        <f t="shared" si="2"/>
        <v>4</v>
      </c>
      <c r="O27" s="4">
        <f t="shared" si="3"/>
        <v>15</v>
      </c>
      <c r="P27" s="3" t="str">
        <f t="shared" si="4"/>
        <v>Tier 3</v>
      </c>
      <c r="Q27" s="3">
        <v>1</v>
      </c>
      <c r="R27" s="3">
        <v>0</v>
      </c>
      <c r="S27" s="3">
        <v>0</v>
      </c>
      <c r="T27" s="3">
        <v>0</v>
      </c>
      <c r="U27" s="3">
        <v>1</v>
      </c>
      <c r="V27" s="3">
        <v>2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1</v>
      </c>
      <c r="AC27" s="3">
        <v>2</v>
      </c>
      <c r="AD27" s="3">
        <v>2</v>
      </c>
      <c r="AE27" s="3">
        <v>2</v>
      </c>
      <c r="AF27" s="3">
        <v>0</v>
      </c>
      <c r="AG27" s="3">
        <v>1</v>
      </c>
      <c r="AH27" s="3">
        <v>0</v>
      </c>
      <c r="AI27" s="3">
        <v>0</v>
      </c>
      <c r="AJ27" s="3">
        <v>2</v>
      </c>
    </row>
    <row r="28" spans="1:36" ht="28">
      <c r="A28" s="2">
        <v>27</v>
      </c>
      <c r="B28" s="2" t="s">
        <v>281</v>
      </c>
      <c r="C28" s="2" t="s">
        <v>85</v>
      </c>
      <c r="D28" s="2" t="s">
        <v>86</v>
      </c>
      <c r="E28" s="2" t="s">
        <v>282</v>
      </c>
      <c r="F28" s="2" t="s">
        <v>283</v>
      </c>
      <c r="G28" s="2" t="s">
        <v>284</v>
      </c>
      <c r="H28" s="2" t="s">
        <v>285</v>
      </c>
      <c r="I28" s="2" t="s">
        <v>148</v>
      </c>
      <c r="J28" s="2" t="s">
        <v>87</v>
      </c>
      <c r="K28" s="2"/>
      <c r="L28" s="4">
        <f t="shared" si="0"/>
        <v>6</v>
      </c>
      <c r="M28" s="4">
        <f t="shared" si="1"/>
        <v>3</v>
      </c>
      <c r="N28" s="4">
        <f t="shared" si="2"/>
        <v>2</v>
      </c>
      <c r="O28" s="4">
        <f t="shared" si="3"/>
        <v>11</v>
      </c>
      <c r="P28" s="3" t="str">
        <f t="shared" si="4"/>
        <v>Monitor</v>
      </c>
      <c r="Q28" s="3">
        <v>1</v>
      </c>
      <c r="R28" s="3">
        <v>0</v>
      </c>
      <c r="S28" s="3">
        <v>0</v>
      </c>
      <c r="T28" s="3">
        <v>0</v>
      </c>
      <c r="U28" s="3">
        <v>1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2</v>
      </c>
      <c r="AD28" s="3">
        <v>2</v>
      </c>
      <c r="AE28" s="3">
        <v>1</v>
      </c>
      <c r="AF28" s="3">
        <v>0</v>
      </c>
      <c r="AG28" s="3">
        <v>1</v>
      </c>
      <c r="AH28" s="3">
        <v>0</v>
      </c>
      <c r="AI28" s="3">
        <v>0</v>
      </c>
      <c r="AJ28" s="3">
        <v>1</v>
      </c>
    </row>
    <row r="29" spans="1:36" ht="56">
      <c r="A29" s="2">
        <v>28</v>
      </c>
      <c r="B29" s="2" t="s">
        <v>286</v>
      </c>
      <c r="C29" s="2" t="s">
        <v>25</v>
      </c>
      <c r="D29" s="2" t="s">
        <v>26</v>
      </c>
      <c r="E29" s="2" t="s">
        <v>287</v>
      </c>
      <c r="F29" s="2" t="s">
        <v>288</v>
      </c>
      <c r="G29" s="2" t="s">
        <v>289</v>
      </c>
      <c r="H29" s="2" t="s">
        <v>290</v>
      </c>
      <c r="I29" s="2" t="s">
        <v>184</v>
      </c>
      <c r="J29" s="2" t="s">
        <v>27</v>
      </c>
      <c r="K29" s="2" t="s">
        <v>291</v>
      </c>
      <c r="L29" s="4">
        <f t="shared" si="0"/>
        <v>11</v>
      </c>
      <c r="M29" s="4">
        <f t="shared" si="1"/>
        <v>16</v>
      </c>
      <c r="N29" s="4">
        <f t="shared" si="2"/>
        <v>5</v>
      </c>
      <c r="O29" s="4">
        <f t="shared" si="3"/>
        <v>32</v>
      </c>
      <c r="P29" s="3" t="str">
        <f t="shared" si="4"/>
        <v>Tier 2</v>
      </c>
      <c r="Q29" s="3">
        <v>1</v>
      </c>
      <c r="R29" s="3">
        <v>2</v>
      </c>
      <c r="S29" s="3">
        <v>0</v>
      </c>
      <c r="T29" s="3">
        <v>1</v>
      </c>
      <c r="U29" s="3">
        <v>3</v>
      </c>
      <c r="V29" s="3">
        <v>3</v>
      </c>
      <c r="W29" s="3">
        <v>1</v>
      </c>
      <c r="X29" s="3">
        <v>1</v>
      </c>
      <c r="Y29" s="3">
        <v>1</v>
      </c>
      <c r="Z29" s="3">
        <v>0</v>
      </c>
      <c r="AA29" s="3">
        <v>0</v>
      </c>
      <c r="AB29" s="3">
        <v>3</v>
      </c>
      <c r="AC29" s="3">
        <v>3</v>
      </c>
      <c r="AD29" s="3">
        <v>3</v>
      </c>
      <c r="AE29" s="3">
        <v>3</v>
      </c>
      <c r="AF29" s="3">
        <v>0</v>
      </c>
      <c r="AG29" s="3">
        <v>2</v>
      </c>
      <c r="AH29" s="3">
        <v>1</v>
      </c>
      <c r="AI29" s="3">
        <v>2</v>
      </c>
      <c r="AJ29" s="3">
        <v>2</v>
      </c>
    </row>
    <row r="30" spans="1:36" ht="56">
      <c r="A30" s="2">
        <v>29</v>
      </c>
      <c r="B30" s="2" t="s">
        <v>292</v>
      </c>
      <c r="C30" s="2" t="s">
        <v>79</v>
      </c>
      <c r="D30" s="2" t="s">
        <v>80</v>
      </c>
      <c r="E30" s="2" t="s">
        <v>293</v>
      </c>
      <c r="F30" s="2" t="s">
        <v>294</v>
      </c>
      <c r="G30" s="2" t="s">
        <v>295</v>
      </c>
      <c r="H30" s="2" t="s">
        <v>296</v>
      </c>
      <c r="I30" s="2" t="s">
        <v>154</v>
      </c>
      <c r="J30" s="2" t="s">
        <v>81</v>
      </c>
      <c r="K30" s="2" t="s">
        <v>297</v>
      </c>
      <c r="L30" s="4">
        <f t="shared" si="0"/>
        <v>2</v>
      </c>
      <c r="M30" s="4">
        <f t="shared" si="1"/>
        <v>8</v>
      </c>
      <c r="N30" s="4">
        <f t="shared" si="2"/>
        <v>3</v>
      </c>
      <c r="O30" s="4">
        <f t="shared" si="3"/>
        <v>13</v>
      </c>
      <c r="P30" s="3" t="str">
        <f t="shared" si="4"/>
        <v>Monitor</v>
      </c>
      <c r="Q30" s="3">
        <v>0</v>
      </c>
      <c r="R30" s="3">
        <v>1</v>
      </c>
      <c r="S30" s="3">
        <v>0</v>
      </c>
      <c r="T30" s="3">
        <v>0</v>
      </c>
      <c r="U30" s="3">
        <v>3</v>
      </c>
      <c r="V30" s="3">
        <v>1</v>
      </c>
      <c r="W30" s="3">
        <v>0</v>
      </c>
      <c r="X30" s="3">
        <v>0</v>
      </c>
      <c r="Y30" s="3">
        <v>2</v>
      </c>
      <c r="Z30" s="3">
        <v>0</v>
      </c>
      <c r="AA30" s="3">
        <v>0</v>
      </c>
      <c r="AB30" s="3">
        <v>2</v>
      </c>
      <c r="AC30" s="3">
        <v>1</v>
      </c>
      <c r="AD30" s="3">
        <v>0</v>
      </c>
      <c r="AE30" s="3">
        <v>0</v>
      </c>
      <c r="AF30" s="3">
        <v>1</v>
      </c>
      <c r="AG30" s="3">
        <v>0</v>
      </c>
      <c r="AH30" s="3">
        <v>0</v>
      </c>
      <c r="AI30" s="3">
        <v>1</v>
      </c>
      <c r="AJ30" s="3">
        <v>1</v>
      </c>
    </row>
    <row r="31" spans="1:36" ht="98">
      <c r="A31" s="2">
        <v>30</v>
      </c>
      <c r="B31" s="2" t="s">
        <v>13</v>
      </c>
      <c r="C31" s="2" t="s">
        <v>13</v>
      </c>
      <c r="D31" s="2" t="s">
        <v>14</v>
      </c>
      <c r="E31" s="2" t="s">
        <v>298</v>
      </c>
      <c r="F31" s="2" t="s">
        <v>299</v>
      </c>
      <c r="G31" s="2" t="s">
        <v>300</v>
      </c>
      <c r="H31" s="2" t="s">
        <v>166</v>
      </c>
      <c r="I31" s="2" t="s">
        <v>141</v>
      </c>
      <c r="J31" s="2" t="s">
        <v>15</v>
      </c>
      <c r="K31" s="2" t="s">
        <v>301</v>
      </c>
      <c r="L31" s="4">
        <f t="shared" si="0"/>
        <v>8</v>
      </c>
      <c r="M31" s="4">
        <f t="shared" si="1"/>
        <v>28</v>
      </c>
      <c r="N31" s="4">
        <f t="shared" si="2"/>
        <v>6</v>
      </c>
      <c r="O31" s="4">
        <f t="shared" si="3"/>
        <v>42</v>
      </c>
      <c r="P31" s="3" t="str">
        <f t="shared" si="4"/>
        <v>Tier 1</v>
      </c>
      <c r="Q31" s="3">
        <v>3</v>
      </c>
      <c r="R31" s="3">
        <v>3</v>
      </c>
      <c r="S31" s="3">
        <v>0</v>
      </c>
      <c r="T31" s="3">
        <v>3</v>
      </c>
      <c r="U31" s="3">
        <v>3</v>
      </c>
      <c r="V31" s="3">
        <v>3</v>
      </c>
      <c r="W31" s="3">
        <v>3</v>
      </c>
      <c r="X31" s="3">
        <v>2</v>
      </c>
      <c r="Y31" s="3">
        <v>3</v>
      </c>
      <c r="Z31" s="3">
        <v>0</v>
      </c>
      <c r="AA31" s="3">
        <v>1</v>
      </c>
      <c r="AB31" s="3">
        <v>3</v>
      </c>
      <c r="AC31" s="3">
        <v>1</v>
      </c>
      <c r="AD31" s="3">
        <v>1</v>
      </c>
      <c r="AE31" s="3">
        <v>1</v>
      </c>
      <c r="AF31" s="3">
        <v>3</v>
      </c>
      <c r="AG31" s="3">
        <v>2</v>
      </c>
      <c r="AH31" s="3">
        <v>2</v>
      </c>
      <c r="AI31" s="3">
        <v>3</v>
      </c>
      <c r="AJ31" s="3">
        <v>2</v>
      </c>
    </row>
    <row r="32" spans="1:36" ht="70">
      <c r="A32" s="2">
        <v>31</v>
      </c>
      <c r="B32" s="2" t="s">
        <v>302</v>
      </c>
      <c r="C32" s="2" t="s">
        <v>48</v>
      </c>
      <c r="D32" s="2" t="s">
        <v>39</v>
      </c>
      <c r="E32" s="2" t="s">
        <v>303</v>
      </c>
      <c r="F32" s="2" t="s">
        <v>304</v>
      </c>
      <c r="G32" s="2" t="s">
        <v>305</v>
      </c>
      <c r="H32" s="2" t="s">
        <v>217</v>
      </c>
      <c r="I32" s="2" t="s">
        <v>154</v>
      </c>
      <c r="J32" s="2" t="s">
        <v>50</v>
      </c>
      <c r="K32" s="2" t="s">
        <v>306</v>
      </c>
      <c r="L32" s="4">
        <f t="shared" si="0"/>
        <v>11</v>
      </c>
      <c r="M32" s="4">
        <f t="shared" si="1"/>
        <v>7</v>
      </c>
      <c r="N32" s="4">
        <f t="shared" si="2"/>
        <v>6</v>
      </c>
      <c r="O32" s="4">
        <f t="shared" si="3"/>
        <v>24</v>
      </c>
      <c r="P32" s="3" t="str">
        <f t="shared" si="4"/>
        <v>Tier 3</v>
      </c>
      <c r="Q32" s="3">
        <v>2</v>
      </c>
      <c r="R32" s="3">
        <v>0</v>
      </c>
      <c r="S32" s="3">
        <v>0</v>
      </c>
      <c r="T32" s="3">
        <v>1</v>
      </c>
      <c r="U32" s="3">
        <v>1</v>
      </c>
      <c r="V32" s="3">
        <v>2</v>
      </c>
      <c r="W32" s="3">
        <v>0</v>
      </c>
      <c r="X32" s="3">
        <v>0</v>
      </c>
      <c r="Y32" s="3">
        <v>0</v>
      </c>
      <c r="Z32" s="3">
        <v>0</v>
      </c>
      <c r="AA32" s="3">
        <v>2</v>
      </c>
      <c r="AB32" s="3">
        <v>2</v>
      </c>
      <c r="AC32" s="3">
        <v>2</v>
      </c>
      <c r="AD32" s="3">
        <v>3</v>
      </c>
      <c r="AE32" s="3">
        <v>2</v>
      </c>
      <c r="AF32" s="3">
        <v>2</v>
      </c>
      <c r="AG32" s="3">
        <v>2</v>
      </c>
      <c r="AH32" s="3">
        <v>1</v>
      </c>
      <c r="AI32" s="3">
        <v>0</v>
      </c>
      <c r="AJ32" s="3">
        <v>2</v>
      </c>
    </row>
    <row r="33" spans="1:36" ht="28">
      <c r="A33" s="2">
        <v>32</v>
      </c>
      <c r="B33" s="2" t="s">
        <v>91</v>
      </c>
      <c r="C33" s="2" t="s">
        <v>91</v>
      </c>
      <c r="D33" s="2" t="s">
        <v>21</v>
      </c>
      <c r="E33" s="2" t="s">
        <v>307</v>
      </c>
      <c r="F33" s="2" t="s">
        <v>308</v>
      </c>
      <c r="G33" s="2" t="s">
        <v>309</v>
      </c>
      <c r="H33" s="2" t="s">
        <v>217</v>
      </c>
      <c r="I33" s="2" t="s">
        <v>148</v>
      </c>
      <c r="J33" s="2" t="s">
        <v>92</v>
      </c>
      <c r="K33" s="2" t="s">
        <v>224</v>
      </c>
      <c r="L33" s="4">
        <f t="shared" si="0"/>
        <v>5</v>
      </c>
      <c r="M33" s="4">
        <f t="shared" si="1"/>
        <v>3</v>
      </c>
      <c r="N33" s="4">
        <f t="shared" si="2"/>
        <v>2</v>
      </c>
      <c r="O33" s="4">
        <f t="shared" si="3"/>
        <v>10</v>
      </c>
      <c r="P33" s="3" t="str">
        <f t="shared" si="4"/>
        <v>Monitor</v>
      </c>
      <c r="Q33" s="3">
        <v>1</v>
      </c>
      <c r="R33" s="3">
        <v>0</v>
      </c>
      <c r="S33" s="3">
        <v>0</v>
      </c>
      <c r="T33" s="3">
        <v>0</v>
      </c>
      <c r="U33" s="3">
        <v>1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1</v>
      </c>
      <c r="AC33" s="3">
        <v>1</v>
      </c>
      <c r="AD33" s="3">
        <v>2</v>
      </c>
      <c r="AE33" s="3">
        <v>1</v>
      </c>
      <c r="AF33" s="3">
        <v>0</v>
      </c>
      <c r="AG33" s="3">
        <v>1</v>
      </c>
      <c r="AH33" s="3">
        <v>0</v>
      </c>
      <c r="AI33" s="3">
        <v>0</v>
      </c>
      <c r="AJ33" s="3">
        <v>1</v>
      </c>
    </row>
    <row r="34" spans="1:36" ht="84">
      <c r="A34" s="2">
        <v>33</v>
      </c>
      <c r="B34" s="2" t="s">
        <v>310</v>
      </c>
      <c r="C34" s="2" t="s">
        <v>93</v>
      </c>
      <c r="D34" s="2" t="s">
        <v>94</v>
      </c>
      <c r="E34" s="2" t="s">
        <v>311</v>
      </c>
      <c r="F34" s="2" t="s">
        <v>312</v>
      </c>
      <c r="G34" s="2" t="s">
        <v>313</v>
      </c>
      <c r="H34" s="2" t="s">
        <v>314</v>
      </c>
      <c r="I34" s="2" t="s">
        <v>173</v>
      </c>
      <c r="J34" s="2" t="s">
        <v>95</v>
      </c>
      <c r="K34" s="2" t="s">
        <v>315</v>
      </c>
      <c r="L34" s="4">
        <f t="shared" si="0"/>
        <v>3</v>
      </c>
      <c r="M34" s="4">
        <f t="shared" si="1"/>
        <v>4</v>
      </c>
      <c r="N34" s="4">
        <f t="shared" si="2"/>
        <v>3</v>
      </c>
      <c r="O34" s="4">
        <f t="shared" si="3"/>
        <v>10</v>
      </c>
      <c r="P34" s="3" t="str">
        <f t="shared" si="4"/>
        <v>Monitor</v>
      </c>
      <c r="Q34" s="3">
        <v>2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</v>
      </c>
      <c r="AC34" s="3">
        <v>0</v>
      </c>
      <c r="AD34" s="3">
        <v>0</v>
      </c>
      <c r="AE34" s="3">
        <v>0</v>
      </c>
      <c r="AF34" s="3">
        <v>0</v>
      </c>
      <c r="AG34" s="3">
        <v>3</v>
      </c>
      <c r="AH34" s="3">
        <v>1</v>
      </c>
      <c r="AI34" s="3">
        <v>0</v>
      </c>
      <c r="AJ34" s="3">
        <v>1</v>
      </c>
    </row>
  </sheetData>
  <conditionalFormatting sqref="O2:O34">
    <cfRule type="dataBar" priority="1">
      <dataBar>
        <cfvo type="min"/>
        <cfvo type="max"/>
        <color rgb="FF0F766E"/>
      </dataBar>
    </cfRule>
  </conditionalFormatting>
  <conditionalFormatting sqref="P2:P34">
    <cfRule type="expression" dxfId="4" priority="2">
      <formula>P2="Tier 1"</formula>
    </cfRule>
    <cfRule type="expression" dxfId="3" priority="3">
      <formula>P2="Tier 2"</formula>
    </cfRule>
    <cfRule type="expression" dxfId="2" priority="4">
      <formula>P2="Tier 3"</formula>
    </cfRule>
    <cfRule type="expression" dxfId="1" priority="5">
      <formula>P2="Monitor"</formula>
    </cfRule>
  </conditionalFormatting>
  <conditionalFormatting sqref="O2:O34">
    <cfRule type="dataBar" priority="6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{FC13A6B6-63CD-B472-40E4-A084331F2FD9}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13A6B6-63CD-B472-40E4-A084331F2FD9}">
            <x14:dataBar>
              <x14:cfvo type="min"/>
              <x14:cfvo type="max"/>
              <x14:negativeFillColor auto="1"/>
              <x14:axisColor auto="1"/>
            </x14:dataBar>
          </x14:cfRule>
          <xm:sqref>O2:O34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"/>
  <cols>
    <col min="1" max="1" width="8" customWidth="1"/>
    <col min="2" max="2" width="24" customWidth="1"/>
    <col min="3" max="3" width="52" customWidth="1"/>
    <col min="4" max="4" width="42" customWidth="1"/>
  </cols>
  <sheetData>
    <row r="1" spans="1:4">
      <c r="A1" s="1" t="s">
        <v>316</v>
      </c>
      <c r="B1" s="1" t="s">
        <v>317</v>
      </c>
      <c r="C1" s="1" t="s">
        <v>318</v>
      </c>
      <c r="D1" s="1" t="s">
        <v>319</v>
      </c>
    </row>
    <row r="2" spans="1:4" ht="42">
      <c r="A2" s="2" t="s">
        <v>320</v>
      </c>
      <c r="B2" s="2" t="s">
        <v>321</v>
      </c>
      <c r="C2" s="2" t="s">
        <v>322</v>
      </c>
      <c r="D2" s="2" t="s">
        <v>323</v>
      </c>
    </row>
    <row r="3" spans="1:4" ht="42">
      <c r="A3" s="2" t="s">
        <v>324</v>
      </c>
      <c r="B3" s="2" t="s">
        <v>325</v>
      </c>
      <c r="C3" s="2" t="s">
        <v>326</v>
      </c>
      <c r="D3" s="2" t="s">
        <v>323</v>
      </c>
    </row>
    <row r="4" spans="1:4" ht="42">
      <c r="A4" s="2" t="s">
        <v>327</v>
      </c>
      <c r="B4" s="2" t="s">
        <v>328</v>
      </c>
      <c r="C4" s="2" t="s">
        <v>329</v>
      </c>
      <c r="D4" s="2" t="s">
        <v>323</v>
      </c>
    </row>
    <row r="5" spans="1:4" ht="42">
      <c r="A5" s="2" t="s">
        <v>330</v>
      </c>
      <c r="B5" s="2" t="s">
        <v>331</v>
      </c>
      <c r="C5" s="2" t="s">
        <v>332</v>
      </c>
      <c r="D5" s="2" t="s">
        <v>323</v>
      </c>
    </row>
    <row r="6" spans="1:4" ht="42">
      <c r="A6" s="2" t="s">
        <v>333</v>
      </c>
      <c r="B6" s="2" t="s">
        <v>334</v>
      </c>
      <c r="C6" s="2" t="s">
        <v>335</v>
      </c>
      <c r="D6" s="2" t="s">
        <v>323</v>
      </c>
    </row>
    <row r="7" spans="1:4" ht="42">
      <c r="A7" s="2" t="s">
        <v>336</v>
      </c>
      <c r="B7" s="2" t="s">
        <v>337</v>
      </c>
      <c r="C7" s="2" t="s">
        <v>338</v>
      </c>
      <c r="D7" s="2" t="s">
        <v>323</v>
      </c>
    </row>
    <row r="8" spans="1:4" ht="42">
      <c r="A8" s="2" t="s">
        <v>339</v>
      </c>
      <c r="B8" s="2" t="s">
        <v>340</v>
      </c>
      <c r="C8" s="2" t="s">
        <v>341</v>
      </c>
      <c r="D8" s="2" t="s">
        <v>323</v>
      </c>
    </row>
    <row r="9" spans="1:4" ht="42">
      <c r="A9" s="2" t="s">
        <v>342</v>
      </c>
      <c r="B9" s="2" t="s">
        <v>343</v>
      </c>
      <c r="C9" s="2" t="s">
        <v>344</v>
      </c>
      <c r="D9" s="2" t="s">
        <v>323</v>
      </c>
    </row>
    <row r="10" spans="1:4" ht="42">
      <c r="A10" s="2" t="s">
        <v>345</v>
      </c>
      <c r="B10" s="2" t="s">
        <v>346</v>
      </c>
      <c r="C10" s="2" t="s">
        <v>347</v>
      </c>
      <c r="D10" s="2" t="s">
        <v>323</v>
      </c>
    </row>
    <row r="11" spans="1:4" ht="42">
      <c r="A11" s="2" t="s">
        <v>348</v>
      </c>
      <c r="B11" s="2" t="s">
        <v>349</v>
      </c>
      <c r="C11" s="2" t="s">
        <v>350</v>
      </c>
      <c r="D11" s="2" t="s">
        <v>323</v>
      </c>
    </row>
    <row r="12" spans="1:4" ht="42">
      <c r="A12" s="2" t="s">
        <v>351</v>
      </c>
      <c r="B12" s="2" t="s">
        <v>352</v>
      </c>
      <c r="C12" s="2" t="s">
        <v>353</v>
      </c>
      <c r="D12" s="2" t="s">
        <v>323</v>
      </c>
    </row>
    <row r="13" spans="1:4" ht="42">
      <c r="A13" s="2" t="s">
        <v>354</v>
      </c>
      <c r="B13" s="2" t="s">
        <v>355</v>
      </c>
      <c r="C13" s="2" t="s">
        <v>356</v>
      </c>
      <c r="D13" s="2" t="s">
        <v>323</v>
      </c>
    </row>
    <row r="14" spans="1:4" ht="42">
      <c r="A14" s="2" t="s">
        <v>357</v>
      </c>
      <c r="B14" s="2" t="s">
        <v>358</v>
      </c>
      <c r="C14" s="2" t="s">
        <v>359</v>
      </c>
      <c r="D14" s="2" t="s">
        <v>323</v>
      </c>
    </row>
    <row r="15" spans="1:4" ht="42">
      <c r="A15" s="2" t="s">
        <v>360</v>
      </c>
      <c r="B15" s="2" t="s">
        <v>361</v>
      </c>
      <c r="C15" s="2" t="s">
        <v>362</v>
      </c>
      <c r="D15" s="2" t="s">
        <v>323</v>
      </c>
    </row>
    <row r="16" spans="1:4" ht="42">
      <c r="A16" s="2" t="s">
        <v>363</v>
      </c>
      <c r="B16" s="2" t="s">
        <v>364</v>
      </c>
      <c r="C16" s="2" t="s">
        <v>365</v>
      </c>
      <c r="D16" s="2" t="s">
        <v>323</v>
      </c>
    </row>
    <row r="17" spans="1:4" ht="42">
      <c r="A17" s="2" t="s">
        <v>366</v>
      </c>
      <c r="B17" s="2" t="s">
        <v>367</v>
      </c>
      <c r="C17" s="2" t="s">
        <v>368</v>
      </c>
      <c r="D17" s="2" t="s">
        <v>323</v>
      </c>
    </row>
    <row r="18" spans="1:4" ht="42">
      <c r="A18" s="2" t="s">
        <v>369</v>
      </c>
      <c r="B18" s="2" t="s">
        <v>370</v>
      </c>
      <c r="C18" s="2" t="s">
        <v>371</v>
      </c>
      <c r="D18" s="2" t="s">
        <v>323</v>
      </c>
    </row>
    <row r="19" spans="1:4" ht="42">
      <c r="A19" s="2" t="s">
        <v>372</v>
      </c>
      <c r="B19" s="2" t="s">
        <v>373</v>
      </c>
      <c r="C19" s="2" t="s">
        <v>374</v>
      </c>
      <c r="D19" s="2" t="s">
        <v>323</v>
      </c>
    </row>
    <row r="20" spans="1:4" ht="42">
      <c r="A20" s="2" t="s">
        <v>375</v>
      </c>
      <c r="B20" s="2" t="s">
        <v>376</v>
      </c>
      <c r="C20" s="2" t="s">
        <v>377</v>
      </c>
      <c r="D20" s="2" t="s">
        <v>323</v>
      </c>
    </row>
    <row r="21" spans="1:4" ht="42">
      <c r="A21" s="2" t="s">
        <v>378</v>
      </c>
      <c r="B21" s="2" t="s">
        <v>379</v>
      </c>
      <c r="C21" s="2" t="s">
        <v>380</v>
      </c>
      <c r="D21" s="2" t="s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/>
  </sheetViews>
  <sheetFormatPr defaultRowHeight="14"/>
  <cols>
    <col min="1" max="1" width="22" customWidth="1"/>
    <col min="2" max="2" width="80" customWidth="1"/>
    <col min="3" max="3" width="60" customWidth="1"/>
  </cols>
  <sheetData>
    <row r="1" spans="1:3">
      <c r="A1" s="1" t="s">
        <v>381</v>
      </c>
      <c r="B1" s="1" t="s">
        <v>382</v>
      </c>
      <c r="C1" s="1" t="s">
        <v>383</v>
      </c>
    </row>
    <row r="2" spans="1:3">
      <c r="A2" t="s">
        <v>384</v>
      </c>
      <c r="B2" t="s">
        <v>385</v>
      </c>
      <c r="C2" t="s">
        <v>386</v>
      </c>
    </row>
    <row r="3" spans="1:3">
      <c r="A3" t="s">
        <v>387</v>
      </c>
      <c r="B3" t="s">
        <v>224</v>
      </c>
      <c r="C3" t="s">
        <v>388</v>
      </c>
    </row>
    <row r="4" spans="1:3">
      <c r="A4" t="s">
        <v>389</v>
      </c>
      <c r="B4" t="s">
        <v>390</v>
      </c>
      <c r="C4" t="s">
        <v>391</v>
      </c>
    </row>
    <row r="5" spans="1:3">
      <c r="A5" t="s">
        <v>392</v>
      </c>
      <c r="B5" t="s">
        <v>393</v>
      </c>
      <c r="C5" t="s">
        <v>394</v>
      </c>
    </row>
    <row r="6" spans="1:3">
      <c r="A6" t="s">
        <v>395</v>
      </c>
      <c r="B6" t="s">
        <v>396</v>
      </c>
      <c r="C6" t="s">
        <v>397</v>
      </c>
    </row>
    <row r="7" spans="1:3">
      <c r="A7" t="s">
        <v>398</v>
      </c>
      <c r="B7" t="s">
        <v>399</v>
      </c>
      <c r="C7" t="s">
        <v>400</v>
      </c>
    </row>
    <row r="8" spans="1:3">
      <c r="A8" t="s">
        <v>401</v>
      </c>
      <c r="B8" t="s">
        <v>402</v>
      </c>
      <c r="C8" t="s">
        <v>403</v>
      </c>
    </row>
    <row r="9" spans="1:3">
      <c r="A9" t="s">
        <v>404</v>
      </c>
      <c r="B9" t="s">
        <v>405</v>
      </c>
      <c r="C9" t="s">
        <v>406</v>
      </c>
    </row>
    <row r="10" spans="1:3">
      <c r="A10" t="s">
        <v>407</v>
      </c>
      <c r="B10" t="s">
        <v>408</v>
      </c>
      <c r="C10" t="s">
        <v>409</v>
      </c>
    </row>
    <row r="11" spans="1:3">
      <c r="A11" t="s">
        <v>410</v>
      </c>
      <c r="B11" t="s">
        <v>212</v>
      </c>
      <c r="C11" t="s">
        <v>411</v>
      </c>
    </row>
    <row r="12" spans="1:3">
      <c r="A12" t="s">
        <v>412</v>
      </c>
      <c r="B12" t="s">
        <v>413</v>
      </c>
      <c r="C12" t="s">
        <v>414</v>
      </c>
    </row>
    <row r="13" spans="1:3">
      <c r="A13" t="s">
        <v>415</v>
      </c>
      <c r="B13" t="s">
        <v>416</v>
      </c>
      <c r="C13" t="s">
        <v>417</v>
      </c>
    </row>
    <row r="14" spans="1:3">
      <c r="A14" t="s">
        <v>418</v>
      </c>
      <c r="B14" t="s">
        <v>419</v>
      </c>
      <c r="C14" t="s">
        <v>420</v>
      </c>
    </row>
    <row r="15" spans="1:3">
      <c r="A15" t="s">
        <v>421</v>
      </c>
      <c r="B15" t="s">
        <v>422</v>
      </c>
      <c r="C15" t="s">
        <v>423</v>
      </c>
    </row>
    <row r="16" spans="1:3">
      <c r="A16" t="s">
        <v>424</v>
      </c>
      <c r="B16" t="s">
        <v>425</v>
      </c>
      <c r="C16" t="s">
        <v>426</v>
      </c>
    </row>
    <row r="17" spans="1:3">
      <c r="A17" t="s">
        <v>427</v>
      </c>
      <c r="B17" t="s">
        <v>428</v>
      </c>
      <c r="C17" t="s">
        <v>429</v>
      </c>
    </row>
    <row r="18" spans="1:3">
      <c r="A18" t="s">
        <v>430</v>
      </c>
      <c r="B18" t="s">
        <v>431</v>
      </c>
      <c r="C18" t="s">
        <v>432</v>
      </c>
    </row>
    <row r="19" spans="1:3">
      <c r="A19" t="s">
        <v>433</v>
      </c>
      <c r="B19" t="s">
        <v>434</v>
      </c>
      <c r="C19" t="s">
        <v>435</v>
      </c>
    </row>
    <row r="20" spans="1:3">
      <c r="A20" t="s">
        <v>436</v>
      </c>
      <c r="B20" t="s">
        <v>258</v>
      </c>
      <c r="C20" t="s">
        <v>437</v>
      </c>
    </row>
    <row r="21" spans="1:3">
      <c r="A21" t="s">
        <v>438</v>
      </c>
      <c r="B21" t="s">
        <v>439</v>
      </c>
      <c r="C21" t="s">
        <v>440</v>
      </c>
    </row>
    <row r="22" spans="1:3">
      <c r="A22" t="s">
        <v>441</v>
      </c>
      <c r="B22" t="s">
        <v>229</v>
      </c>
      <c r="C22" t="s">
        <v>442</v>
      </c>
    </row>
    <row r="23" spans="1:3">
      <c r="A23" t="s">
        <v>443</v>
      </c>
      <c r="B23" t="s">
        <v>444</v>
      </c>
      <c r="C23" t="s">
        <v>445</v>
      </c>
    </row>
    <row r="24" spans="1:3">
      <c r="A24" t="s">
        <v>446</v>
      </c>
      <c r="B24" t="s">
        <v>447</v>
      </c>
      <c r="C24" t="s">
        <v>448</v>
      </c>
    </row>
    <row r="25" spans="1:3">
      <c r="A25" t="s">
        <v>449</v>
      </c>
      <c r="B25" t="s">
        <v>450</v>
      </c>
      <c r="C25" t="s">
        <v>451</v>
      </c>
    </row>
    <row r="26" spans="1:3">
      <c r="A26" t="s">
        <v>452</v>
      </c>
      <c r="B26" t="s">
        <v>218</v>
      </c>
      <c r="C26" t="s">
        <v>453</v>
      </c>
    </row>
    <row r="27" spans="1:3">
      <c r="A27" t="s">
        <v>454</v>
      </c>
      <c r="B27" t="s">
        <v>455</v>
      </c>
      <c r="C27" t="s">
        <v>456</v>
      </c>
    </row>
    <row r="28" spans="1:3">
      <c r="A28" t="s">
        <v>457</v>
      </c>
      <c r="B28" t="s">
        <v>458</v>
      </c>
      <c r="C28" t="s">
        <v>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Summary</vt:lpstr>
      <vt:lpstr>ICP Matrix</vt:lpstr>
      <vt:lpstr>Criteria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Сигитов Максим Игоревич</cp:lastModifiedBy>
  <dcterms:modified xsi:type="dcterms:W3CDTF">2026-06-09T15:45:14Z</dcterms:modified>
</cp:coreProperties>
</file>